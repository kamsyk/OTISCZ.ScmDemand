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csir\Desktop\"/>
    </mc:Choice>
  </mc:AlternateContent>
  <bookViews>
    <workbookView xWindow="0" yWindow="0" windowWidth="19200" windowHeight="7755" activeTab="1"/>
  </bookViews>
  <sheets>
    <sheet name="Ponuka" sheetId="1" r:id="rId1"/>
    <sheet name="RFQ_CZ" sheetId="2" r:id="rId2"/>
    <sheet name="List1" sheetId="3" r:id="rId3"/>
  </sheets>
  <definedNames>
    <definedName name="Iné">Ponuka!$G$34</definedName>
    <definedName name="Medzisúčet">Položky[[#Totals],[SUMA]]</definedName>
    <definedName name="NadpisStĺpca1">Položky[[#Headers],[MNOŽSTVO]]</definedName>
    <definedName name="_xlnm.Print_Titles" localSheetId="0">Ponuka!$B:$B,Ponuka!$4:$4</definedName>
    <definedName name="_xlnm.Print_Area" localSheetId="1">RFQ_CZ!$A$1:$R$52</definedName>
    <definedName name="OblasťNadpisuRiadka1..G35">Položky[[#Totals],[JEDNOTKOVÁ CENA]]</definedName>
    <definedName name="OblasťNadpisuStĺpca1..B6.1">Ponuka!$B$5</definedName>
    <definedName name="OblasťNadpisuStĺpca10..B24.1">Ponuka!$B$23</definedName>
    <definedName name="OblasťNadpisuStĺpca11..B26.1">Ponuka!$B$25</definedName>
    <definedName name="OblasťNadpisuStĺpca12..B28.1">Ponuka!$B$27</definedName>
    <definedName name="OblasťNadpisuStĺpca13..B30.1">Ponuka!$B$29</definedName>
    <definedName name="OblasťNadpisuStĺpca14..D33">Ponuka!$D$32</definedName>
    <definedName name="OblasťNadpisuStĺpca2..B8.1">Ponuka!$B$7</definedName>
    <definedName name="OblasťNadpisuStĺpca3..B10.1">Ponuka!$B$9</definedName>
    <definedName name="OblasťNadpisuStĺpca4..B12.1">Ponuka!$B$11</definedName>
    <definedName name="OblasťNadpisuStĺpca5..B14.1">Ponuka!$B$13</definedName>
    <definedName name="OblasťNadpisuStĺpca6..B16.1">Ponuka!$B$15</definedName>
    <definedName name="OblasťNadpisuStĺpca7..B18.1">Ponuka!$B$17</definedName>
    <definedName name="OblasťNadpisuStĺpca8..B20.1">Ponuka!$B$19</definedName>
    <definedName name="OblasťNadpisuStĺpca9..B22.1">Ponuka!$B$21</definedName>
    <definedName name="SadzbaDane">Ponuka!$G$32</definedName>
  </definedNames>
  <calcPr calcId="152511"/>
</workbook>
</file>

<file path=xl/calcChain.xml><?xml version="1.0" encoding="utf-8"?>
<calcChain xmlns="http://schemas.openxmlformats.org/spreadsheetml/2006/main">
  <c r="J29" i="3" l="1"/>
  <c r="K29" i="3"/>
  <c r="M34" i="3"/>
  <c r="L34" i="3"/>
  <c r="K34" i="3"/>
  <c r="J34" i="3"/>
  <c r="L33" i="3"/>
  <c r="K33" i="3"/>
  <c r="J33" i="3"/>
  <c r="I33" i="3"/>
  <c r="H33" i="3"/>
  <c r="G33" i="3"/>
  <c r="C8" i="3"/>
  <c r="C10" i="3" s="1"/>
  <c r="J18" i="3"/>
  <c r="G26" i="3"/>
  <c r="K26" i="3" s="1"/>
  <c r="M25" i="3"/>
  <c r="M24" i="3"/>
  <c r="M18" i="3"/>
  <c r="M17" i="3"/>
  <c r="M16" i="3"/>
  <c r="L18" i="3"/>
  <c r="L17" i="3"/>
  <c r="L16" i="3"/>
  <c r="I18" i="3"/>
  <c r="I17" i="3"/>
  <c r="J17" i="3" s="1"/>
  <c r="I16" i="3"/>
  <c r="J16" i="3" s="1"/>
  <c r="C7" i="3"/>
  <c r="J19" i="3" l="1"/>
  <c r="M26" i="3"/>
  <c r="M27" i="3" s="1"/>
  <c r="M29" i="3" s="1"/>
  <c r="L19" i="3"/>
  <c r="M19" i="3"/>
  <c r="I19" i="3"/>
  <c r="I29" i="3" s="1"/>
  <c r="L29" i="3" l="1"/>
  <c r="G30" i="1" l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31" i="1" l="1"/>
  <c r="G33" i="1" s="1"/>
  <c r="G35" i="1" s="1"/>
  <c r="B10" i="1"/>
  <c r="B30" i="1"/>
  <c r="I8" i="3" l="1"/>
  <c r="I9" i="3" l="1"/>
  <c r="J8" i="3" l="1"/>
  <c r="K8" i="3" s="1"/>
  <c r="J7" i="3"/>
  <c r="K7" i="3" s="1"/>
  <c r="J6" i="3"/>
  <c r="K6" i="3" l="1"/>
  <c r="K9" i="3" s="1"/>
  <c r="I11" i="3" s="1"/>
  <c r="K10" i="3" l="1"/>
</calcChain>
</file>

<file path=xl/sharedStrings.xml><?xml version="1.0" encoding="utf-8"?>
<sst xmlns="http://schemas.openxmlformats.org/spreadsheetml/2006/main" count="149" uniqueCount="130">
  <si>
    <t>ZÁKAZNÍK</t>
  </si>
  <si>
    <t>Do tejto bunky zadajte meno zákazníka.</t>
  </si>
  <si>
    <t>Č. ODHADU</t>
  </si>
  <si>
    <t>C-1234</t>
  </si>
  <si>
    <t>DÁTUM</t>
  </si>
  <si>
    <t>ADRESA</t>
  </si>
  <si>
    <t>Do tejto bunky zadajte ulicu zákazníka.</t>
  </si>
  <si>
    <t>PSČ/MESTO/KRAJINA</t>
  </si>
  <si>
    <t>Do tejto bunky zadajte PSČ, mesto a krajinu zákazníka.</t>
  </si>
  <si>
    <t>TELEFÓN</t>
  </si>
  <si>
    <t>Do tejto bunky zadajte telefónne číslo zákazníka.</t>
  </si>
  <si>
    <t>E-MAIL:</t>
  </si>
  <si>
    <t>Do tejto bunky zadajte e-mailovú adresu zákazníka.</t>
  </si>
  <si>
    <t>PREDAJCA</t>
  </si>
  <si>
    <t>Do tejto bunky zadajte predajcu.</t>
  </si>
  <si>
    <t>PROJEKT</t>
  </si>
  <si>
    <t>Do tejto bunky zadajte názov projektu.</t>
  </si>
  <si>
    <t>VYPRACOVAL/-A:</t>
  </si>
  <si>
    <t>Do tejto bunky zadajte meno osoby, ktorá odhad vypracovala.</t>
  </si>
  <si>
    <t>PRÍJEMCA</t>
  </si>
  <si>
    <t>Do tejto bunky zadajte meno a adresu príjemcu návrhu.</t>
  </si>
  <si>
    <t>PLATOBNÉ PODMIENKY</t>
  </si>
  <si>
    <t>30 dní</t>
  </si>
  <si>
    <t>DÁTUM SPLATNOSTI</t>
  </si>
  <si>
    <t>NÁVRH VÝSTAVBY</t>
  </si>
  <si>
    <t>Názov spoločnosti</t>
  </si>
  <si>
    <t>Telefón</t>
  </si>
  <si>
    <t>MNOŽSTVO</t>
  </si>
  <si>
    <t>TENTO NÁVRH POČÍTA S UVEDENÝMI PODMIENKAMI:</t>
  </si>
  <si>
    <t>Sem zadajte podmienky</t>
  </si>
  <si>
    <t>Svojím podpisom nižšie akceptujete túto ponuku:</t>
  </si>
  <si>
    <t>Schválil/-a</t>
  </si>
  <si>
    <t>| Do tejto bunky zadajte ulicu spoločnosti.</t>
  </si>
  <si>
    <t>| Do tejto bunky zadajte číslo faxu a kontaktnú e-mailovú adresu.</t>
  </si>
  <si>
    <t>POPIS</t>
  </si>
  <si>
    <t>Položka 1</t>
  </si>
  <si>
    <t>Položka 2</t>
  </si>
  <si>
    <t>Položka 3</t>
  </si>
  <si>
    <t>Položka 4</t>
  </si>
  <si>
    <t>Položka 5</t>
  </si>
  <si>
    <t>Položka 6</t>
  </si>
  <si>
    <t>Položka 7</t>
  </si>
  <si>
    <t>JEDNOTKOVÁ CENA</t>
  </si>
  <si>
    <t>MEDZISÚČET</t>
  </si>
  <si>
    <t xml:space="preserve">SADZBA DANE </t>
  </si>
  <si>
    <t xml:space="preserve">DAŇ Z PREDAJA </t>
  </si>
  <si>
    <t xml:space="preserve">INÉ </t>
  </si>
  <si>
    <t>SUMA</t>
  </si>
  <si>
    <t>Dátum</t>
  </si>
  <si>
    <t>CELKOVÁ HODNOTA</t>
  </si>
  <si>
    <t>Číslo projektu:</t>
  </si>
  <si>
    <t>Název projketu:</t>
  </si>
  <si>
    <t>Žadatel nabídky:</t>
  </si>
  <si>
    <t>Tel.č.</t>
  </si>
  <si>
    <t>Oddělení</t>
  </si>
  <si>
    <t>Termín zadání</t>
  </si>
  <si>
    <t>Nabídku vypracoval</t>
  </si>
  <si>
    <t>Termín nabídky</t>
  </si>
  <si>
    <t>Název dodvatele:</t>
  </si>
  <si>
    <t>Nomenklatura</t>
  </si>
  <si>
    <t>Název dílu</t>
  </si>
  <si>
    <t>MJ</t>
  </si>
  <si>
    <t>Měna</t>
  </si>
  <si>
    <t>LT</t>
  </si>
  <si>
    <t xml:space="preserve">Další podmínky: </t>
  </si>
  <si>
    <t>Platnost nabídky:</t>
  </si>
  <si>
    <t>Číslo nabídky dodav.:</t>
  </si>
  <si>
    <t>Požadavek na EUR1:</t>
  </si>
  <si>
    <t>Nabídka splňuje EUR1:</t>
  </si>
  <si>
    <t>MOQ</t>
  </si>
  <si>
    <t>Požadované certfikáty:</t>
  </si>
  <si>
    <t>No:</t>
  </si>
  <si>
    <t>RFQ dokument</t>
  </si>
  <si>
    <t>RFQ-20-XXXX-XX</t>
  </si>
  <si>
    <t>rok</t>
  </si>
  <si>
    <t>Dodací podmínka Incoterms 2020:</t>
  </si>
  <si>
    <t>Palety - zboží smí být baleno jedině na EUR paletách. Jiné typy palet jsou zakázány. Palety musí být kalkulovány v ceně zboží.</t>
  </si>
  <si>
    <t>Cerifikáty:</t>
  </si>
  <si>
    <t>DAP OTIS Břeclav včetně balení</t>
  </si>
  <si>
    <t>Ks</t>
  </si>
  <si>
    <t>Číslo dílu dodavatele</t>
  </si>
  <si>
    <t>OTIS Výkres č.</t>
  </si>
  <si>
    <t>Cena jedn. FCA/DAP</t>
  </si>
  <si>
    <t>OMS</t>
  </si>
  <si>
    <t>DACHSER</t>
  </si>
  <si>
    <t>Ohrádka 120x80x30</t>
  </si>
  <si>
    <t>Ohrádka 120x80x20</t>
  </si>
  <si>
    <t>1 Set = počet ohrádek</t>
  </si>
  <si>
    <t>1 Set = počet palet</t>
  </si>
  <si>
    <t>1 Set = počet vík</t>
  </si>
  <si>
    <t>Palet</t>
  </si>
  <si>
    <t>Víko</t>
  </si>
  <si>
    <t>Ohrádka 3x</t>
  </si>
  <si>
    <t>Počet</t>
  </si>
  <si>
    <t>1 sada</t>
  </si>
  <si>
    <t>Podíl hodnoty ze sady</t>
  </si>
  <si>
    <t xml:space="preserve">Pokud nevrátím </t>
  </si>
  <si>
    <t>Pokud vrátím</t>
  </si>
  <si>
    <r>
      <t xml:space="preserve">Počet převezených </t>
    </r>
    <r>
      <rPr>
        <b/>
        <sz val="11"/>
        <color theme="3"/>
        <rFont val="Arial"/>
        <family val="2"/>
        <charset val="238"/>
        <scheme val="minor"/>
      </rPr>
      <t>sad</t>
    </r>
  </si>
  <si>
    <t>Přepravné na 1 sadu</t>
  </si>
  <si>
    <t>Přepravné na 1 set</t>
  </si>
  <si>
    <t>set</t>
  </si>
  <si>
    <t>sada</t>
  </si>
  <si>
    <t>Cena když nevrátím OMS</t>
  </si>
  <si>
    <t>Dachser</t>
  </si>
  <si>
    <t>60cm</t>
  </si>
  <si>
    <t>90cm</t>
  </si>
  <si>
    <t>120cm</t>
  </si>
  <si>
    <t>podíl z přepravy na 1 set</t>
  </si>
  <si>
    <t>OMS - Cena za 1ks</t>
  </si>
  <si>
    <t>Cena za 1ks (20cm)</t>
  </si>
  <si>
    <t>80cm</t>
  </si>
  <si>
    <t>100cm</t>
  </si>
  <si>
    <t>Cena na 1 ohrádku</t>
  </si>
  <si>
    <t>Cena za 1ks (30cm)</t>
  </si>
  <si>
    <t xml:space="preserve">Ohrádka </t>
  </si>
  <si>
    <t>Celková cena za set</t>
  </si>
  <si>
    <t>344 setů</t>
  </si>
  <si>
    <t>Cenový rozdíl při použití OMS vůči Dachser dle variant</t>
  </si>
  <si>
    <t>Záloha za 1 set (90cm)</t>
  </si>
  <si>
    <t>Packages</t>
  </si>
  <si>
    <t>pcs/annualy</t>
  </si>
  <si>
    <t>Dle výšky ohrádky</t>
  </si>
  <si>
    <t>Price</t>
  </si>
  <si>
    <t>Credited</t>
  </si>
  <si>
    <t>Lost</t>
  </si>
  <si>
    <t>transport/pc</t>
  </si>
  <si>
    <t>Př./Výd.</t>
  </si>
  <si>
    <t>Total lost</t>
  </si>
  <si>
    <r>
      <rPr>
        <b/>
        <sz val="11"/>
        <color theme="3"/>
        <rFont val="Arial"/>
        <family val="2"/>
        <charset val="238"/>
        <scheme val="minor"/>
      </rPr>
      <t>Pokud vrátím</t>
    </r>
    <r>
      <rPr>
        <sz val="11"/>
        <color theme="3"/>
        <rFont val="Arial"/>
        <family val="2"/>
        <scheme val="minor"/>
      </rPr>
      <t xml:space="preserve"> -cena bez přepravy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</si>
</sst>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_(* #,##0_);_(* \(#,##0\);_(* &quot;-&quot;_);_(@_)"/>
    <numFmt numFmtId="165" formatCode="[&lt;=99999]###\ ##;##\ ##\ ##"/>
    <numFmt numFmtId="166" formatCode="#,##0.00\ [$EUR];\-#,##0.00\ [$EUR]"/>
    <numFmt numFmtId="167" formatCode="_-* #,##0.00\ [$Kč-405]_-;\-* #,##0.00\ [$Kč-405]_-;_-* &quot;-&quot;??\ [$Kč-405]_-;_-@_-"/>
    <numFmt numFmtId="168" formatCode="_-* #,##0\ [$Kč-405]_-;\-* #,##0\ [$Kč-405]_-;_-* &quot;-&quot;??\ [$Kč-405]_-;_-@_-"/>
    <numFmt numFmtId="169" formatCode="#,##0\ [$€-1];[Red]\-#,##0\ [$€-1]"/>
    <numFmt numFmtId="170" formatCode="0.000"/>
    <numFmt numFmtId="171" formatCode="_-* #,##0\ [$€-1]_-;\-* #,##0\ [$€-1]_-;_-* &quot;-&quot;??\ [$€-1]_-;_-@_-"/>
    <numFmt numFmtId="172" formatCode="_-* #,##0\ [$Kč-405]_-;\-* #,##0\ [$Kč-405]_-;_-* &quot;-&quot;???\ [$Kč-405]_-;_-@_-"/>
  </numFmts>
  <fonts count="30" x14ac:knownFonts="1">
    <font>
      <sz val="11"/>
      <color theme="3"/>
      <name val="Arial"/>
      <family val="2"/>
      <scheme val="minor"/>
    </font>
    <font>
      <sz val="11"/>
      <color theme="1"/>
      <name val="Arial"/>
      <family val="2"/>
      <scheme val="minor"/>
    </font>
    <font>
      <sz val="9"/>
      <color theme="3"/>
      <name val="Arial"/>
      <family val="2"/>
      <scheme val="minor"/>
    </font>
    <font>
      <sz val="25"/>
      <color theme="4"/>
      <name val="Arial"/>
      <family val="2"/>
      <scheme val="major"/>
    </font>
    <font>
      <sz val="11"/>
      <color theme="3" tint="0.24994659260841701"/>
      <name val="Arial"/>
      <family val="2"/>
      <scheme val="minor"/>
    </font>
    <font>
      <sz val="11"/>
      <color theme="3"/>
      <name val="Arial"/>
      <family val="2"/>
      <scheme val="minor"/>
    </font>
    <font>
      <b/>
      <i/>
      <sz val="11"/>
      <color theme="3"/>
      <name val="Arial"/>
      <family val="2"/>
      <scheme val="minor"/>
    </font>
    <font>
      <b/>
      <sz val="11"/>
      <color theme="3" tint="0.24994659260841701"/>
      <name val="Arial"/>
      <family val="2"/>
      <scheme val="minor"/>
    </font>
    <font>
      <sz val="11"/>
      <color theme="4" tint="-0.24994659260841701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0"/>
      <name val="Arial"/>
      <family val="2"/>
      <scheme val="minor"/>
    </font>
    <font>
      <sz val="8.5"/>
      <color theme="3"/>
      <name val="Trebuchet MS"/>
      <family val="2"/>
      <charset val="238"/>
    </font>
    <font>
      <b/>
      <sz val="7.5"/>
      <color theme="3"/>
      <name val="Trebuchet MS"/>
      <family val="2"/>
      <charset val="238"/>
    </font>
    <font>
      <b/>
      <sz val="20"/>
      <name val="Arial"/>
      <family val="2"/>
      <charset val="238"/>
      <scheme val="minor"/>
    </font>
    <font>
      <i/>
      <sz val="8.5"/>
      <color theme="3"/>
      <name val="Trebuchet MS"/>
      <family val="2"/>
      <charset val="238"/>
    </font>
    <font>
      <b/>
      <sz val="11"/>
      <color theme="3"/>
      <name val="Arial"/>
      <family val="2"/>
      <charset val="238"/>
      <scheme val="minor"/>
    </font>
    <font>
      <sz val="8.5"/>
      <color theme="2" tint="-0.499984740745262"/>
      <name val="Trebuchet MS"/>
      <family val="2"/>
      <charset val="238"/>
    </font>
    <font>
      <b/>
      <sz val="8.5"/>
      <color theme="3"/>
      <name val="Trebuchet MS"/>
      <family val="2"/>
      <charset val="238"/>
    </font>
    <font>
      <sz val="11"/>
      <color theme="3"/>
      <name val="Arial"/>
      <family val="2"/>
      <charset val="238"/>
      <scheme val="minor"/>
    </font>
    <font>
      <b/>
      <u/>
      <sz val="11"/>
      <color theme="3"/>
      <name val="Arial"/>
      <family val="2"/>
      <charset val="238"/>
      <scheme val="minor"/>
    </font>
    <font>
      <b/>
      <sz val="11"/>
      <name val="Arial"/>
      <family val="2"/>
      <charset val="238"/>
      <scheme val="minor"/>
    </font>
    <font>
      <b/>
      <sz val="11"/>
      <color rgb="FFFF0000"/>
      <name val="Arial"/>
      <family val="2"/>
      <charset val="238"/>
      <scheme val="minor"/>
    </font>
  </fonts>
  <fills count="41">
    <fill>
      <patternFill patternType="none"/>
    </fill>
    <fill>
      <patternFill patternType="gray125"/>
    </fill>
    <fill>
      <patternFill patternType="lightUp">
        <fgColor theme="3" tint="0.89996032593768116"/>
        <bgColor auto="1"/>
      </patternFill>
    </fill>
    <fill>
      <patternFill patternType="lightUp">
        <fgColor theme="3" tint="0.89996032593768116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BE5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ck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/>
      <top/>
      <bottom style="hair">
        <color theme="3" tint="0.24994659260841701"/>
      </bottom>
      <diagonal/>
    </border>
    <border>
      <left/>
      <right/>
      <top style="thin">
        <color theme="3" tint="0.749961851863155"/>
      </top>
      <bottom/>
      <diagonal/>
    </border>
    <border>
      <left/>
      <right/>
      <top style="hair">
        <color theme="3" tint="0.24994659260841701"/>
      </top>
      <bottom/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rgb="FF365F91"/>
      </top>
      <bottom/>
      <diagonal/>
    </border>
    <border>
      <left style="medium">
        <color rgb="FF365F91"/>
      </left>
      <right style="medium">
        <color rgb="FF365F91"/>
      </right>
      <top style="thick">
        <color rgb="FF365F91"/>
      </top>
      <bottom style="medium">
        <color rgb="FF365F91"/>
      </bottom>
      <diagonal/>
    </border>
    <border>
      <left/>
      <right style="medium">
        <color rgb="FF365F91"/>
      </right>
      <top style="thick">
        <color rgb="FF365F91"/>
      </top>
      <bottom style="medium">
        <color rgb="FF365F91"/>
      </bottom>
      <diagonal/>
    </border>
    <border>
      <left style="medium">
        <color rgb="FF365F91"/>
      </left>
      <right style="medium">
        <color rgb="FF365F91"/>
      </right>
      <top/>
      <bottom style="medium">
        <color rgb="FF365F91"/>
      </bottom>
      <diagonal/>
    </border>
    <border>
      <left/>
      <right style="medium">
        <color rgb="FF365F91"/>
      </right>
      <top/>
      <bottom style="medium">
        <color rgb="FF365F91"/>
      </bottom>
      <diagonal/>
    </border>
    <border>
      <left/>
      <right/>
      <top/>
      <bottom style="medium">
        <color indexed="64"/>
      </bottom>
      <diagonal/>
    </border>
    <border>
      <left style="medium">
        <color rgb="FF365F91"/>
      </left>
      <right/>
      <top style="thick">
        <color rgb="FF365F91"/>
      </top>
      <bottom style="medium">
        <color rgb="FF365F91"/>
      </bottom>
      <diagonal/>
    </border>
    <border>
      <left/>
      <right/>
      <top style="thick">
        <color rgb="FF365F91"/>
      </top>
      <bottom style="medium">
        <color rgb="FF365F91"/>
      </bottom>
      <diagonal/>
    </border>
    <border>
      <left style="medium">
        <color rgb="FF365F91"/>
      </left>
      <right/>
      <top style="medium">
        <color rgb="FF365F91"/>
      </top>
      <bottom style="medium">
        <color rgb="FF365F91"/>
      </bottom>
      <diagonal/>
    </border>
    <border>
      <left/>
      <right/>
      <top style="medium">
        <color rgb="FF365F91"/>
      </top>
      <bottom style="medium">
        <color rgb="FF365F91"/>
      </bottom>
      <diagonal/>
    </border>
    <border>
      <left/>
      <right style="medium">
        <color rgb="FF365F91"/>
      </right>
      <top style="medium">
        <color rgb="FF365F91"/>
      </top>
      <bottom style="medium">
        <color rgb="FF365F9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70C0"/>
      </left>
      <right style="medium">
        <color rgb="FF365F91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6">
    <xf numFmtId="0" fontId="0" fillId="0" borderId="0">
      <alignment horizontal="left" vertical="center" wrapText="1" indent="1"/>
    </xf>
    <xf numFmtId="0" fontId="3" fillId="0" borderId="0"/>
    <xf numFmtId="165" fontId="5" fillId="0" borderId="0" applyFont="0" applyFill="0" applyBorder="0">
      <alignment horizontal="left" vertical="top" wrapText="1"/>
    </xf>
    <xf numFmtId="0" fontId="7" fillId="0" borderId="0" applyNumberFormat="0" applyFill="0" applyProtection="0">
      <alignment horizontal="left" vertical="center" indent="1"/>
    </xf>
    <xf numFmtId="0" fontId="4" fillId="0" borderId="5">
      <alignment horizontal="left" vertical="top" wrapText="1"/>
    </xf>
    <xf numFmtId="0" fontId="4" fillId="0" borderId="0" applyNumberFormat="0" applyFill="0" applyBorder="0" applyProtection="0">
      <alignment horizontal="left" vertical="top" wrapText="1"/>
    </xf>
    <xf numFmtId="0" fontId="4" fillId="0" borderId="0" applyNumberFormat="0" applyFill="0" applyBorder="0" applyProtection="0">
      <alignment horizontal="left" vertical="top" wrapText="1"/>
    </xf>
    <xf numFmtId="1" fontId="2" fillId="0" borderId="0" applyFont="0" applyFill="0" applyBorder="0" applyProtection="0">
      <alignment horizontal="center" vertical="center"/>
    </xf>
    <xf numFmtId="166" fontId="2" fillId="0" borderId="0" applyFont="0" applyFill="0" applyBorder="0" applyProtection="0">
      <alignment horizontal="right" vertical="center" indent="1"/>
    </xf>
    <xf numFmtId="166" fontId="9" fillId="3" borderId="0" applyBorder="0" applyProtection="0">
      <alignment horizontal="right" vertical="center" indent="1"/>
    </xf>
    <xf numFmtId="10" fontId="9" fillId="3" borderId="0" applyBorder="0" applyProtection="0">
      <alignment horizontal="right" vertical="center" indent="1"/>
    </xf>
    <xf numFmtId="0" fontId="4" fillId="0" borderId="4">
      <alignment vertical="top" wrapText="1"/>
    </xf>
    <xf numFmtId="0" fontId="8" fillId="0" borderId="0">
      <alignment horizontal="left" vertical="center"/>
    </xf>
    <xf numFmtId="0" fontId="4" fillId="0" borderId="0">
      <alignment horizontal="left" vertical="top" wrapText="1"/>
    </xf>
    <xf numFmtId="0" fontId="5" fillId="0" borderId="0" applyNumberFormat="0" applyFill="0" applyBorder="0" applyProtection="0">
      <alignment horizontal="left" vertical="center"/>
    </xf>
    <xf numFmtId="0" fontId="6" fillId="2" borderId="0" applyNumberFormat="0" applyProtection="0">
      <alignment horizontal="left" vertical="center" wrapText="1"/>
    </xf>
    <xf numFmtId="0" fontId="5" fillId="0" borderId="0" applyNumberFormat="0" applyFill="0" applyBorder="0" applyProtection="0">
      <alignment horizontal="left" vertical="top" wrapText="1"/>
    </xf>
    <xf numFmtId="14" fontId="5" fillId="0" borderId="0" applyFont="0" applyFill="0" applyBorder="0">
      <alignment horizontal="left" vertical="top"/>
    </xf>
    <xf numFmtId="0" fontId="5" fillId="0" borderId="0" applyNumberFormat="0" applyFont="0" applyFill="0" applyBorder="0">
      <alignment horizontal="center" vertical="center"/>
    </xf>
    <xf numFmtId="14" fontId="5" fillId="0" borderId="0" applyFont="0" applyFill="0" applyBorder="0">
      <alignment horizontal="left" vertical="center"/>
    </xf>
    <xf numFmtId="0" fontId="5" fillId="0" borderId="1" applyNumberFormat="0" applyFill="0" applyAlignment="0" applyProtection="0">
      <alignment vertical="center"/>
    </xf>
    <xf numFmtId="0" fontId="5" fillId="0" borderId="2" applyNumberFormat="0" applyFont="0" applyFill="0" applyAlignment="0">
      <alignment horizontal="left" vertical="center"/>
    </xf>
    <xf numFmtId="164" fontId="5" fillId="0" borderId="0" applyFon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7" applyNumberFormat="0" applyAlignment="0" applyProtection="0"/>
    <xf numFmtId="0" fontId="14" fillId="7" borderId="8" applyNumberFormat="0" applyAlignment="0" applyProtection="0"/>
    <xf numFmtId="0" fontId="15" fillId="0" borderId="9" applyNumberFormat="0" applyFill="0" applyAlignment="0" applyProtection="0"/>
    <xf numFmtId="0" fontId="16" fillId="8" borderId="10" applyNumberFormat="0" applyAlignment="0" applyProtection="0"/>
    <xf numFmtId="0" fontId="17" fillId="0" borderId="0" applyNumberFormat="0" applyFill="0" applyBorder="0" applyAlignment="0" applyProtection="0"/>
    <xf numFmtId="0" fontId="5" fillId="9" borderId="11" applyNumberFormat="0" applyFont="0" applyAlignment="0" applyProtection="0"/>
    <xf numFmtId="0" fontId="1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64">
    <xf numFmtId="0" fontId="0" fillId="0" borderId="0" xfId="0">
      <alignment horizontal="left" vertical="center" wrapText="1" indent="1"/>
    </xf>
    <xf numFmtId="0" fontId="0" fillId="0" borderId="0" xfId="0">
      <alignment horizontal="left" vertical="center" wrapText="1" indent="1"/>
    </xf>
    <xf numFmtId="0" fontId="4" fillId="0" borderId="4" xfId="11">
      <alignment vertical="top" wrapText="1"/>
    </xf>
    <xf numFmtId="0" fontId="8" fillId="0" borderId="0" xfId="12">
      <alignment horizontal="left" vertical="center"/>
    </xf>
    <xf numFmtId="0" fontId="4" fillId="0" borderId="0" xfId="13">
      <alignment horizontal="left" vertical="top" wrapText="1"/>
    </xf>
    <xf numFmtId="165" fontId="4" fillId="0" borderId="0" xfId="2" applyFont="1">
      <alignment horizontal="left" vertical="top" wrapText="1"/>
    </xf>
    <xf numFmtId="0" fontId="6" fillId="2" borderId="0" xfId="15">
      <alignment horizontal="left" vertical="center" wrapText="1"/>
    </xf>
    <xf numFmtId="0" fontId="0" fillId="0" borderId="0" xfId="0" applyFont="1" applyFill="1" applyBorder="1" applyAlignment="1">
      <alignment horizontal="left" vertical="center" indent="1"/>
    </xf>
    <xf numFmtId="0" fontId="0" fillId="0" borderId="0" xfId="0" applyFont="1" applyFill="1" applyBorder="1">
      <alignment horizontal="left" vertical="center" wrapText="1" indent="1"/>
    </xf>
    <xf numFmtId="166" fontId="0" fillId="0" borderId="0" xfId="8" applyFont="1">
      <alignment horizontal="right" vertical="center" indent="1"/>
    </xf>
    <xf numFmtId="1" fontId="0" fillId="0" borderId="0" xfId="7" applyFont="1">
      <alignment horizontal="center" vertical="center"/>
    </xf>
    <xf numFmtId="0" fontId="0" fillId="0" borderId="0" xfId="18" applyFont="1" applyFill="1" applyBorder="1">
      <alignment horizontal="center" vertical="center"/>
    </xf>
    <xf numFmtId="14" fontId="4" fillId="0" borderId="2" xfId="17" applyFont="1" applyBorder="1">
      <alignment horizontal="left" vertical="top"/>
    </xf>
    <xf numFmtId="0" fontId="8" fillId="0" borderId="0" xfId="12" applyAlignment="1">
      <alignment vertical="center"/>
    </xf>
    <xf numFmtId="0" fontId="4" fillId="0" borderId="5" xfId="4">
      <alignment horizontal="left" vertical="top" wrapText="1"/>
    </xf>
    <xf numFmtId="14" fontId="7" fillId="0" borderId="3" xfId="17" applyFont="1" applyBorder="1">
      <alignment horizontal="left" vertical="top"/>
    </xf>
    <xf numFmtId="0" fontId="5" fillId="0" borderId="1" xfId="20" applyAlignment="1">
      <alignment horizontal="left" vertical="center" wrapText="1" indent="1"/>
    </xf>
    <xf numFmtId="1" fontId="0" fillId="0" borderId="0" xfId="7" applyFont="1" applyFill="1" applyBorder="1">
      <alignment horizontal="center" vertical="center"/>
    </xf>
    <xf numFmtId="166" fontId="0" fillId="0" borderId="0" xfId="8" applyFont="1" applyFill="1" applyBorder="1">
      <alignment horizontal="right" vertical="center" indent="1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2" xfId="21" applyFont="1" applyAlignment="1">
      <alignment horizontal="left" vertical="center" wrapText="1" indent="1"/>
    </xf>
    <xf numFmtId="0" fontId="0" fillId="0" borderId="2" xfId="0" applyFont="1" applyFill="1" applyBorder="1" applyAlignment="1" applyProtection="1">
      <alignment horizontal="left" vertical="center" wrapText="1" indent="1"/>
    </xf>
    <xf numFmtId="14" fontId="6" fillId="2" borderId="0" xfId="19" applyFont="1" applyFill="1">
      <alignment horizontal="left" vertical="center"/>
    </xf>
    <xf numFmtId="10" fontId="9" fillId="3" borderId="2" xfId="10" applyBorder="1">
      <alignment horizontal="right" vertical="center" indent="1"/>
    </xf>
    <xf numFmtId="166" fontId="9" fillId="3" borderId="2" xfId="9" applyBorder="1">
      <alignment horizontal="right" vertical="center" indent="1"/>
    </xf>
    <xf numFmtId="166" fontId="9" fillId="3" borderId="1" xfId="9" applyBorder="1">
      <alignment horizontal="right" vertical="center" indent="1"/>
    </xf>
    <xf numFmtId="165" fontId="4" fillId="0" borderId="4" xfId="2" applyFont="1" applyBorder="1">
      <alignment horizontal="left" vertical="top" wrapText="1"/>
    </xf>
    <xf numFmtId="0" fontId="0" fillId="0" borderId="0" xfId="0">
      <alignment horizontal="left" vertical="center" wrapText="1" indent="1"/>
    </xf>
    <xf numFmtId="166" fontId="5" fillId="0" borderId="0" xfId="0" applyNumberFormat="1" applyFont="1" applyFill="1" applyBorder="1" applyAlignment="1">
      <alignment horizontal="right" vertical="center" indent="1"/>
    </xf>
    <xf numFmtId="0" fontId="0" fillId="0" borderId="0" xfId="0">
      <alignment horizontal="left" vertical="center" wrapText="1" indent="1"/>
    </xf>
    <xf numFmtId="0" fontId="20" fillId="34" borderId="13" xfId="0" applyFont="1" applyFill="1" applyBorder="1" applyAlignment="1">
      <alignment horizontal="center" vertical="center" wrapText="1"/>
    </xf>
    <xf numFmtId="0" fontId="20" fillId="34" borderId="14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0" fillId="35" borderId="0" xfId="0" applyFill="1">
      <alignment horizontal="left" vertical="center" wrapText="1" indent="1"/>
    </xf>
    <xf numFmtId="0" fontId="19" fillId="35" borderId="0" xfId="0" applyFont="1" applyFill="1" applyBorder="1" applyAlignment="1">
      <alignment horizontal="center" vertical="center" wrapText="1"/>
    </xf>
    <xf numFmtId="0" fontId="19" fillId="35" borderId="15" xfId="0" applyFont="1" applyFill="1" applyBorder="1" applyAlignment="1">
      <alignment horizontal="center" vertical="center" wrapText="1"/>
    </xf>
    <xf numFmtId="0" fontId="19" fillId="35" borderId="16" xfId="0" applyFont="1" applyFill="1" applyBorder="1" applyAlignment="1">
      <alignment horizontal="center" vertical="center" wrapText="1"/>
    </xf>
    <xf numFmtId="0" fontId="19" fillId="35" borderId="15" xfId="0" applyFont="1" applyFill="1" applyBorder="1" applyAlignment="1">
      <alignment horizontal="left" vertical="center" wrapText="1" indent="1"/>
    </xf>
    <xf numFmtId="0" fontId="19" fillId="35" borderId="16" xfId="0" applyFont="1" applyFill="1" applyBorder="1" applyAlignment="1">
      <alignment horizontal="left" vertical="center" wrapText="1" indent="1"/>
    </xf>
    <xf numFmtId="0" fontId="19" fillId="35" borderId="16" xfId="0" applyFont="1" applyFill="1" applyBorder="1" applyAlignment="1">
      <alignment horizontal="right" vertical="center" wrapText="1" indent="1"/>
    </xf>
    <xf numFmtId="0" fontId="19" fillId="35" borderId="0" xfId="0" applyFont="1" applyFill="1" applyBorder="1" applyAlignment="1">
      <alignment horizontal="left" vertical="center" wrapText="1" indent="1"/>
    </xf>
    <xf numFmtId="0" fontId="19" fillId="35" borderId="0" xfId="0" applyFont="1" applyFill="1" applyBorder="1" applyAlignment="1">
      <alignment horizontal="right" vertical="center" wrapText="1" indent="1"/>
    </xf>
    <xf numFmtId="0" fontId="20" fillId="34" borderId="14" xfId="0" applyFont="1" applyFill="1" applyBorder="1" applyAlignment="1">
      <alignment horizontal="center" vertical="center" wrapText="1"/>
    </xf>
    <xf numFmtId="0" fontId="0" fillId="35" borderId="24" xfId="0" applyFill="1" applyBorder="1">
      <alignment horizontal="left" vertical="center" wrapText="1" indent="1"/>
    </xf>
    <xf numFmtId="0" fontId="0" fillId="35" borderId="25" xfId="0" applyFill="1" applyBorder="1">
      <alignment horizontal="left" vertical="center" wrapText="1" indent="1"/>
    </xf>
    <xf numFmtId="0" fontId="0" fillId="35" borderId="26" xfId="0" applyFill="1" applyBorder="1">
      <alignment horizontal="left" vertical="center" wrapText="1" indent="1"/>
    </xf>
    <xf numFmtId="0" fontId="0" fillId="35" borderId="0" xfId="0" applyFill="1" applyBorder="1">
      <alignment horizontal="left" vertical="center" wrapText="1" indent="1"/>
    </xf>
    <xf numFmtId="0" fontId="0" fillId="35" borderId="27" xfId="0" applyFill="1" applyBorder="1">
      <alignment horizontal="left" vertical="center" wrapText="1" indent="1"/>
    </xf>
    <xf numFmtId="0" fontId="19" fillId="35" borderId="26" xfId="0" applyFont="1" applyFill="1" applyBorder="1" applyAlignment="1">
      <alignment horizontal="center" vertical="center" wrapText="1"/>
    </xf>
    <xf numFmtId="0" fontId="19" fillId="35" borderId="26" xfId="0" applyFont="1" applyFill="1" applyBorder="1" applyAlignment="1">
      <alignment horizontal="left" vertical="center" wrapText="1" indent="1"/>
    </xf>
    <xf numFmtId="0" fontId="0" fillId="35" borderId="28" xfId="0" applyFill="1" applyBorder="1">
      <alignment horizontal="left" vertical="center" wrapText="1" indent="1"/>
    </xf>
    <xf numFmtId="0" fontId="0" fillId="35" borderId="17" xfId="0" applyFill="1" applyBorder="1">
      <alignment horizontal="left" vertical="center" wrapText="1" indent="1"/>
    </xf>
    <xf numFmtId="0" fontId="0" fillId="35" borderId="29" xfId="0" applyFill="1" applyBorder="1">
      <alignment horizontal="left" vertical="center" wrapText="1" indent="1"/>
    </xf>
    <xf numFmtId="0" fontId="19" fillId="35" borderId="30" xfId="0" applyFont="1" applyFill="1" applyBorder="1" applyAlignment="1">
      <alignment horizontal="left" vertical="center" wrapText="1" indent="1"/>
    </xf>
    <xf numFmtId="0" fontId="0" fillId="35" borderId="33" xfId="0" applyFill="1" applyBorder="1">
      <alignment horizontal="left" vertical="center" wrapText="1" indent="1"/>
    </xf>
    <xf numFmtId="0" fontId="21" fillId="35" borderId="26" xfId="0" applyFont="1" applyFill="1" applyBorder="1" applyAlignment="1">
      <alignment horizontal="left" vertical="top" wrapText="1"/>
    </xf>
    <xf numFmtId="0" fontId="21" fillId="35" borderId="0" xfId="0" applyFont="1" applyFill="1" applyBorder="1" applyAlignment="1">
      <alignment horizontal="left" vertical="top" wrapText="1"/>
    </xf>
    <xf numFmtId="0" fontId="0" fillId="35" borderId="0" xfId="0" applyFill="1" applyBorder="1" applyAlignment="1">
      <alignment horizontal="right" vertical="center" wrapText="1" indent="1"/>
    </xf>
    <xf numFmtId="0" fontId="0" fillId="35" borderId="33" xfId="0" applyFill="1" applyBorder="1" applyAlignment="1">
      <alignment horizontal="right" vertical="center" wrapText="1" indent="1"/>
    </xf>
    <xf numFmtId="0" fontId="21" fillId="35" borderId="0" xfId="0" applyFont="1" applyFill="1" applyBorder="1" applyAlignment="1">
      <alignment horizontal="left" vertical="top" wrapText="1"/>
    </xf>
    <xf numFmtId="0" fontId="0" fillId="35" borderId="35" xfId="0" applyFill="1" applyBorder="1">
      <alignment horizontal="left" vertical="center" wrapText="1" indent="1"/>
    </xf>
    <xf numFmtId="0" fontId="0" fillId="35" borderId="26" xfId="0" applyFill="1" applyBorder="1" applyAlignment="1">
      <alignment horizontal="center" vertical="center" wrapText="1"/>
    </xf>
    <xf numFmtId="0" fontId="23" fillId="35" borderId="32" xfId="0" applyFont="1" applyFill="1" applyBorder="1" applyAlignment="1">
      <alignment horizontal="right" vertical="center" wrapText="1"/>
    </xf>
    <xf numFmtId="0" fontId="0" fillId="37" borderId="0" xfId="0" applyFill="1">
      <alignment horizontal="left" vertical="center" wrapText="1" indent="1"/>
    </xf>
    <xf numFmtId="0" fontId="0" fillId="37" borderId="0" xfId="0" applyFill="1" applyAlignment="1">
      <alignment horizontal="right" vertical="center" wrapText="1" indent="1"/>
    </xf>
    <xf numFmtId="0" fontId="22" fillId="35" borderId="0" xfId="0" applyFont="1" applyFill="1" applyBorder="1" applyAlignment="1">
      <alignment vertical="center" wrapText="1"/>
    </xf>
    <xf numFmtId="0" fontId="20" fillId="35" borderId="0" xfId="0" applyFont="1" applyFill="1" applyBorder="1" applyAlignment="1">
      <alignment vertical="center" wrapText="1"/>
    </xf>
    <xf numFmtId="0" fontId="19" fillId="35" borderId="0" xfId="0" applyFont="1" applyFill="1" applyBorder="1" applyAlignment="1">
      <alignment vertical="top" wrapText="1"/>
    </xf>
    <xf numFmtId="0" fontId="25" fillId="35" borderId="0" xfId="0" applyFont="1" applyFill="1" applyBorder="1" applyAlignment="1">
      <alignment horizontal="left" vertical="center" wrapText="1" indent="1"/>
    </xf>
    <xf numFmtId="0" fontId="0" fillId="35" borderId="36" xfId="0" applyFill="1" applyBorder="1">
      <alignment horizontal="left" vertical="center" wrapText="1" indent="1"/>
    </xf>
    <xf numFmtId="0" fontId="19" fillId="35" borderId="37" xfId="0" applyFont="1" applyFill="1" applyBorder="1" applyAlignment="1">
      <alignment horizontal="left" vertical="center" wrapText="1" indent="1"/>
    </xf>
    <xf numFmtId="0" fontId="19" fillId="35" borderId="37" xfId="0" applyFont="1" applyFill="1" applyBorder="1" applyAlignment="1">
      <alignment horizontal="right" vertical="center" wrapText="1" indent="1"/>
    </xf>
    <xf numFmtId="168" fontId="23" fillId="38" borderId="0" xfId="0" applyNumberFormat="1" applyFont="1" applyFill="1">
      <alignment horizontal="left" vertical="center" wrapText="1" indent="1"/>
    </xf>
    <xf numFmtId="0" fontId="0" fillId="35" borderId="0" xfId="0" applyFill="1" applyAlignment="1">
      <alignment vertical="center" wrapText="1"/>
    </xf>
    <xf numFmtId="0" fontId="0" fillId="35" borderId="0" xfId="0" applyFill="1" applyAlignment="1">
      <alignment horizontal="center" vertical="center" wrapText="1"/>
    </xf>
    <xf numFmtId="168" fontId="29" fillId="38" borderId="0" xfId="0" applyNumberFormat="1" applyFont="1" applyFill="1">
      <alignment horizontal="left" vertical="center" wrapText="1" indent="1"/>
    </xf>
    <xf numFmtId="168" fontId="0" fillId="35" borderId="0" xfId="8" applyNumberFormat="1" applyFont="1" applyFill="1">
      <alignment horizontal="right" vertical="center" indent="1"/>
    </xf>
    <xf numFmtId="0" fontId="27" fillId="35" borderId="0" xfId="0" applyFont="1" applyFill="1">
      <alignment horizontal="left" vertical="center" wrapText="1" indent="1"/>
    </xf>
    <xf numFmtId="0" fontId="28" fillId="35" borderId="0" xfId="0" applyFont="1" applyFill="1" applyAlignment="1">
      <alignment horizontal="center" vertical="center" wrapText="1"/>
    </xf>
    <xf numFmtId="0" fontId="23" fillId="35" borderId="0" xfId="0" applyFont="1" applyFill="1">
      <alignment horizontal="left" vertical="center" wrapText="1" indent="1"/>
    </xf>
    <xf numFmtId="0" fontId="0" fillId="35" borderId="38" xfId="0" applyFill="1" applyBorder="1">
      <alignment horizontal="left" vertical="center" wrapText="1" indent="1"/>
    </xf>
    <xf numFmtId="0" fontId="0" fillId="35" borderId="38" xfId="0" applyFill="1" applyBorder="1" applyAlignment="1">
      <alignment horizontal="center" vertical="center" wrapText="1"/>
    </xf>
    <xf numFmtId="0" fontId="23" fillId="35" borderId="0" xfId="0" applyFont="1" applyFill="1" applyAlignment="1">
      <alignment horizontal="center" vertical="center" wrapText="1"/>
    </xf>
    <xf numFmtId="168" fontId="23" fillId="35" borderId="0" xfId="8" applyNumberFormat="1" applyFont="1" applyFill="1">
      <alignment horizontal="right" vertical="center" indent="1"/>
    </xf>
    <xf numFmtId="168" fontId="0" fillId="35" borderId="38" xfId="8" applyNumberFormat="1" applyFont="1" applyFill="1" applyBorder="1">
      <alignment horizontal="right" vertical="center" indent="1"/>
    </xf>
    <xf numFmtId="170" fontId="0" fillId="35" borderId="38" xfId="0" applyNumberFormat="1" applyFill="1" applyBorder="1">
      <alignment horizontal="left" vertical="center" wrapText="1" indent="1"/>
    </xf>
    <xf numFmtId="168" fontId="0" fillId="35" borderId="38" xfId="0" applyNumberFormat="1" applyFill="1" applyBorder="1">
      <alignment horizontal="left" vertical="center" wrapText="1" indent="1"/>
    </xf>
    <xf numFmtId="168" fontId="23" fillId="35" borderId="0" xfId="0" applyNumberFormat="1" applyFont="1" applyFill="1" applyAlignment="1">
      <alignment horizontal="center" vertical="center" wrapText="1"/>
    </xf>
    <xf numFmtId="168" fontId="23" fillId="35" borderId="0" xfId="0" applyNumberFormat="1" applyFont="1" applyFill="1">
      <alignment horizontal="left" vertical="center" wrapText="1" indent="1"/>
    </xf>
    <xf numFmtId="169" fontId="0" fillId="35" borderId="0" xfId="0" applyNumberFormat="1" applyFill="1" applyAlignment="1">
      <alignment horizontal="center" vertical="center" wrapText="1"/>
    </xf>
    <xf numFmtId="172" fontId="0" fillId="35" borderId="0" xfId="0" applyNumberFormat="1" applyFill="1">
      <alignment horizontal="left" vertical="center" wrapText="1" indent="1"/>
    </xf>
    <xf numFmtId="169" fontId="23" fillId="35" borderId="0" xfId="0" applyNumberFormat="1" applyFont="1" applyFill="1" applyAlignment="1">
      <alignment horizontal="center" vertical="center" wrapText="1"/>
    </xf>
    <xf numFmtId="171" fontId="23" fillId="35" borderId="0" xfId="0" applyNumberFormat="1" applyFont="1" applyFill="1">
      <alignment horizontal="left" vertical="center" wrapText="1" indent="1"/>
    </xf>
    <xf numFmtId="168" fontId="0" fillId="35" borderId="0" xfId="0" applyNumberFormat="1" applyFill="1" applyAlignment="1">
      <alignment horizontal="center" vertical="center" wrapText="1"/>
    </xf>
    <xf numFmtId="168" fontId="0" fillId="35" borderId="0" xfId="0" applyNumberFormat="1" applyFill="1">
      <alignment horizontal="left" vertical="center" wrapText="1" indent="1"/>
    </xf>
    <xf numFmtId="0" fontId="0" fillId="35" borderId="0" xfId="0" applyFill="1" applyAlignment="1">
      <alignment horizontal="left" vertical="center" wrapText="1" indent="1"/>
    </xf>
    <xf numFmtId="0" fontId="0" fillId="35" borderId="0" xfId="0" applyFill="1" applyAlignment="1">
      <alignment horizontal="left" vertical="center" wrapText="1"/>
    </xf>
    <xf numFmtId="0" fontId="23" fillId="40" borderId="0" xfId="0" applyFont="1" applyFill="1">
      <alignment horizontal="left" vertical="center" wrapText="1" indent="1"/>
    </xf>
    <xf numFmtId="0" fontId="23" fillId="40" borderId="0" xfId="0" applyFont="1" applyFill="1" applyAlignment="1">
      <alignment vertical="center" wrapText="1"/>
    </xf>
    <xf numFmtId="172" fontId="28" fillId="35" borderId="0" xfId="0" applyNumberFormat="1" applyFont="1" applyFill="1">
      <alignment horizontal="left" vertical="center" wrapText="1" indent="1"/>
    </xf>
    <xf numFmtId="168" fontId="28" fillId="35" borderId="0" xfId="0" applyNumberFormat="1" applyFont="1" applyFill="1">
      <alignment horizontal="left" vertical="center" wrapText="1" indent="1"/>
    </xf>
    <xf numFmtId="0" fontId="18" fillId="35" borderId="38" xfId="0" applyFont="1" applyFill="1" applyBorder="1" applyAlignment="1">
      <alignment horizontal="center" vertical="center" wrapText="1"/>
    </xf>
    <xf numFmtId="0" fontId="23" fillId="35" borderId="0" xfId="0" applyFont="1" applyFill="1" applyAlignment="1">
      <alignment horizontal="left" vertical="top" wrapText="1"/>
    </xf>
    <xf numFmtId="1" fontId="0" fillId="35" borderId="38" xfId="0" applyNumberFormat="1" applyFill="1" applyBorder="1" applyAlignment="1">
      <alignment horizontal="center" vertical="center" wrapText="1"/>
    </xf>
    <xf numFmtId="167" fontId="0" fillId="35" borderId="38" xfId="8" applyNumberFormat="1" applyFont="1" applyFill="1" applyBorder="1">
      <alignment horizontal="right" vertical="center" indent="1"/>
    </xf>
    <xf numFmtId="1" fontId="0" fillId="35" borderId="40" xfId="0" applyNumberFormat="1" applyFill="1" applyBorder="1" applyAlignment="1">
      <alignment horizontal="center" vertical="center" wrapText="1"/>
    </xf>
    <xf numFmtId="168" fontId="0" fillId="35" borderId="40" xfId="0" applyNumberFormat="1" applyFill="1" applyBorder="1">
      <alignment horizontal="left" vertical="center" wrapText="1" indent="1"/>
    </xf>
    <xf numFmtId="168" fontId="23" fillId="39" borderId="41" xfId="0" applyNumberFormat="1" applyFont="1" applyFill="1" applyBorder="1" applyAlignment="1">
      <alignment horizontal="center" vertical="center" wrapText="1"/>
    </xf>
    <xf numFmtId="168" fontId="23" fillId="39" borderId="42" xfId="0" applyNumberFormat="1" applyFont="1" applyFill="1" applyBorder="1" applyAlignment="1">
      <alignment horizontal="center" vertical="center" wrapText="1"/>
    </xf>
    <xf numFmtId="0" fontId="23" fillId="39" borderId="42" xfId="0" applyFont="1" applyFill="1" applyBorder="1" applyAlignment="1">
      <alignment horizontal="center" vertical="center" wrapText="1"/>
    </xf>
    <xf numFmtId="0" fontId="23" fillId="39" borderId="43" xfId="0" applyFont="1" applyFill="1" applyBorder="1" applyAlignment="1">
      <alignment horizontal="center" vertical="center" wrapText="1"/>
    </xf>
    <xf numFmtId="168" fontId="23" fillId="39" borderId="45" xfId="8" applyNumberFormat="1" applyFont="1" applyFill="1" applyBorder="1">
      <alignment horizontal="right" vertical="center" indent="1"/>
    </xf>
    <xf numFmtId="0" fontId="23" fillId="39" borderId="46" xfId="0" applyFont="1" applyFill="1" applyBorder="1">
      <alignment horizontal="left" vertical="center" wrapText="1" indent="1"/>
    </xf>
    <xf numFmtId="168" fontId="23" fillId="39" borderId="44" xfId="0" applyNumberFormat="1" applyFont="1" applyFill="1" applyBorder="1" applyAlignment="1">
      <alignment horizontal="left" wrapText="1" indent="1"/>
    </xf>
    <xf numFmtId="167" fontId="0" fillId="38" borderId="38" xfId="8" applyNumberFormat="1" applyFont="1" applyFill="1" applyBorder="1">
      <alignment horizontal="right" vertical="center" indent="1"/>
    </xf>
    <xf numFmtId="168" fontId="29" fillId="35" borderId="40" xfId="0" applyNumberFormat="1" applyFont="1" applyFill="1" applyBorder="1">
      <alignment horizontal="left" vertical="center" wrapText="1" indent="1"/>
    </xf>
    <xf numFmtId="168" fontId="29" fillId="38" borderId="38" xfId="0" applyNumberFormat="1" applyFont="1" applyFill="1" applyBorder="1">
      <alignment horizontal="left" vertical="center" wrapText="1" indent="1"/>
    </xf>
    <xf numFmtId="9" fontId="9" fillId="3" borderId="0" xfId="10" applyNumberFormat="1" applyAlignment="1">
      <alignment horizontal="left" vertical="center" indent="1"/>
    </xf>
    <xf numFmtId="168" fontId="23" fillId="39" borderId="0" xfId="0" applyNumberFormat="1" applyFont="1" applyFill="1">
      <alignment horizontal="left" vertical="center" wrapText="1" indent="1"/>
    </xf>
    <xf numFmtId="0" fontId="23" fillId="38" borderId="0" xfId="0" applyFont="1" applyFill="1">
      <alignment horizontal="left" vertical="center" wrapText="1" indent="1"/>
    </xf>
    <xf numFmtId="0" fontId="0" fillId="0" borderId="0" xfId="0">
      <alignment horizontal="left" vertical="center" wrapText="1" indent="1"/>
    </xf>
    <xf numFmtId="0" fontId="7" fillId="0" borderId="0" xfId="3" applyBorder="1">
      <alignment horizontal="left" vertical="center" indent="1"/>
    </xf>
    <xf numFmtId="0" fontId="4" fillId="0" borderId="5" xfId="4">
      <alignment horizontal="left" vertical="top" wrapText="1"/>
    </xf>
    <xf numFmtId="0" fontId="5" fillId="0" borderId="0" xfId="16">
      <alignment horizontal="left" vertical="top" wrapText="1"/>
    </xf>
    <xf numFmtId="0" fontId="4" fillId="0" borderId="4" xfId="11">
      <alignment vertical="top" wrapText="1"/>
    </xf>
    <xf numFmtId="0" fontId="4" fillId="0" borderId="6" xfId="11" applyBorder="1">
      <alignment vertical="top" wrapText="1"/>
    </xf>
    <xf numFmtId="0" fontId="3" fillId="0" borderId="2" xfId="1" applyBorder="1" applyAlignment="1"/>
    <xf numFmtId="0" fontId="19" fillId="35" borderId="20" xfId="0" applyFont="1" applyFill="1" applyBorder="1" applyAlignment="1">
      <alignment horizontal="left" vertical="center" wrapText="1"/>
    </xf>
    <xf numFmtId="0" fontId="19" fillId="35" borderId="21" xfId="0" applyFont="1" applyFill="1" applyBorder="1" applyAlignment="1">
      <alignment horizontal="left" vertical="center" wrapText="1"/>
    </xf>
    <xf numFmtId="0" fontId="19" fillId="35" borderId="22" xfId="0" applyFont="1" applyFill="1" applyBorder="1" applyAlignment="1">
      <alignment horizontal="left" vertical="center" wrapText="1"/>
    </xf>
    <xf numFmtId="0" fontId="0" fillId="36" borderId="31" xfId="0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4" borderId="14" xfId="0" applyFont="1" applyFill="1" applyBorder="1" applyAlignment="1">
      <alignment horizontal="center" vertical="center" wrapText="1"/>
    </xf>
    <xf numFmtId="0" fontId="24" fillId="35" borderId="20" xfId="0" applyFont="1" applyFill="1" applyBorder="1" applyAlignment="1">
      <alignment horizontal="center" vertical="center" wrapText="1"/>
    </xf>
    <xf numFmtId="0" fontId="24" fillId="35" borderId="21" xfId="0" applyFont="1" applyFill="1" applyBorder="1" applyAlignment="1">
      <alignment horizontal="center" vertical="center" wrapText="1"/>
    </xf>
    <xf numFmtId="0" fontId="24" fillId="35" borderId="22" xfId="0" applyFont="1" applyFill="1" applyBorder="1" applyAlignment="1">
      <alignment horizontal="center" vertical="center" wrapText="1"/>
    </xf>
    <xf numFmtId="0" fontId="21" fillId="35" borderId="23" xfId="0" applyFont="1" applyFill="1" applyBorder="1" applyAlignment="1">
      <alignment horizontal="left" vertical="top" wrapText="1"/>
    </xf>
    <xf numFmtId="0" fontId="21" fillId="35" borderId="24" xfId="0" applyFont="1" applyFill="1" applyBorder="1" applyAlignment="1">
      <alignment horizontal="left" vertical="top" wrapText="1"/>
    </xf>
    <xf numFmtId="0" fontId="0" fillId="36" borderId="31" xfId="0" applyFill="1" applyBorder="1" applyAlignment="1">
      <alignment horizontal="left" vertical="center" wrapText="1"/>
    </xf>
    <xf numFmtId="0" fontId="21" fillId="35" borderId="26" xfId="0" applyFont="1" applyFill="1" applyBorder="1" applyAlignment="1">
      <alignment horizontal="left" vertical="top" wrapText="1"/>
    </xf>
    <xf numFmtId="0" fontId="21" fillId="35" borderId="0" xfId="0" applyFont="1" applyFill="1" applyBorder="1" applyAlignment="1">
      <alignment horizontal="left" vertical="top" wrapText="1"/>
    </xf>
    <xf numFmtId="0" fontId="0" fillId="35" borderId="33" xfId="0" applyFill="1" applyBorder="1" applyAlignment="1">
      <alignment horizontal="center" vertical="center" wrapText="1"/>
    </xf>
    <xf numFmtId="0" fontId="0" fillId="35" borderId="34" xfId="0" applyFill="1" applyBorder="1" applyAlignment="1">
      <alignment horizontal="center" vertical="center" wrapText="1"/>
    </xf>
    <xf numFmtId="0" fontId="22" fillId="35" borderId="12" xfId="0" applyFont="1" applyFill="1" applyBorder="1" applyAlignment="1">
      <alignment horizontal="right" vertical="center" wrapText="1"/>
    </xf>
    <xf numFmtId="0" fontId="19" fillId="35" borderId="20" xfId="0" applyFont="1" applyFill="1" applyBorder="1" applyAlignment="1">
      <alignment horizontal="center" vertical="center" wrapText="1"/>
    </xf>
    <xf numFmtId="0" fontId="19" fillId="35" borderId="22" xfId="0" applyFont="1" applyFill="1" applyBorder="1" applyAlignment="1">
      <alignment horizontal="center" vertical="center" wrapText="1"/>
    </xf>
    <xf numFmtId="0" fontId="0" fillId="37" borderId="26" xfId="0" applyFill="1" applyBorder="1" applyAlignment="1">
      <alignment horizontal="center" vertical="center" wrapText="1"/>
    </xf>
    <xf numFmtId="0" fontId="0" fillId="37" borderId="0" xfId="0" applyFill="1" applyAlignment="1">
      <alignment horizontal="center" vertical="center" wrapText="1"/>
    </xf>
    <xf numFmtId="0" fontId="26" fillId="35" borderId="26" xfId="0" applyFont="1" applyFill="1" applyBorder="1" applyAlignment="1">
      <alignment horizontal="left" vertical="center" wrapText="1"/>
    </xf>
    <xf numFmtId="0" fontId="26" fillId="35" borderId="0" xfId="0" applyFont="1" applyFill="1" applyBorder="1" applyAlignment="1">
      <alignment horizontal="left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23" fillId="35" borderId="26" xfId="0" applyFont="1" applyFill="1" applyBorder="1" applyAlignment="1">
      <alignment horizontal="left" vertical="center" wrapText="1"/>
    </xf>
    <xf numFmtId="0" fontId="23" fillId="35" borderId="0" xfId="0" applyFont="1" applyFill="1" applyBorder="1" applyAlignment="1">
      <alignment horizontal="left" vertical="center" wrapText="1"/>
    </xf>
    <xf numFmtId="0" fontId="26" fillId="35" borderId="36" xfId="0" applyFont="1" applyFill="1" applyBorder="1" applyAlignment="1">
      <alignment horizontal="left" vertical="center" wrapText="1"/>
    </xf>
    <xf numFmtId="0" fontId="26" fillId="35" borderId="37" xfId="0" applyFont="1" applyFill="1" applyBorder="1" applyAlignment="1">
      <alignment horizontal="left" vertical="center" wrapText="1"/>
    </xf>
    <xf numFmtId="0" fontId="26" fillId="38" borderId="0" xfId="0" applyFont="1" applyFill="1" applyAlignment="1">
      <alignment horizontal="center" vertical="center" wrapText="1"/>
    </xf>
    <xf numFmtId="0" fontId="0" fillId="38" borderId="0" xfId="0" applyFill="1" applyAlignment="1">
      <alignment horizontal="center" vertical="center" wrapText="1"/>
    </xf>
    <xf numFmtId="0" fontId="0" fillId="35" borderId="0" xfId="0" applyFill="1" applyAlignment="1">
      <alignment horizontal="center" vertical="center" wrapText="1"/>
    </xf>
    <xf numFmtId="0" fontId="23" fillId="39" borderId="0" xfId="0" applyFont="1" applyFill="1" applyAlignment="1">
      <alignment horizontal="left" vertical="top" wrapText="1"/>
    </xf>
    <xf numFmtId="0" fontId="0" fillId="40" borderId="0" xfId="0" applyFill="1" applyAlignment="1">
      <alignment horizontal="center" vertical="center" wrapText="1"/>
    </xf>
    <xf numFmtId="0" fontId="0" fillId="39" borderId="39" xfId="0" applyFill="1" applyBorder="1" applyAlignment="1">
      <alignment horizontal="center" vertical="center" wrapText="1"/>
    </xf>
  </cellXfs>
  <cellStyles count="56">
    <cellStyle name="20 % – Zvýraznění1" xfId="33" builtinId="30" customBuiltin="1"/>
    <cellStyle name="20 % – Zvýraznění2" xfId="37" builtinId="34" customBuiltin="1"/>
    <cellStyle name="20 % – Zvýraznění3" xfId="41" builtinId="38" customBuiltin="1"/>
    <cellStyle name="20 % – Zvýraznění4" xfId="45" builtinId="42" customBuiltin="1"/>
    <cellStyle name="20 % – Zvýraznění5" xfId="49" builtinId="46" customBuiltin="1"/>
    <cellStyle name="20 % – Zvýraznění6" xfId="53" builtinId="50" customBuiltin="1"/>
    <cellStyle name="40 % – Zvýraznění1" xfId="34" builtinId="31" customBuiltin="1"/>
    <cellStyle name="40 % – Zvýraznění2" xfId="38" builtinId="35" customBuiltin="1"/>
    <cellStyle name="40 % – Zvýraznění3" xfId="42" builtinId="39" customBuiltin="1"/>
    <cellStyle name="40 % – Zvýraznění4" xfId="46" builtinId="43" customBuiltin="1"/>
    <cellStyle name="40 % – Zvýraznění5" xfId="50" builtinId="47" customBuiltin="1"/>
    <cellStyle name="40 % – Zvýraznění6" xfId="54" builtinId="51" customBuiltin="1"/>
    <cellStyle name="60 % – Zvýraznění1" xfId="35" builtinId="32" customBuiltin="1"/>
    <cellStyle name="60 % – Zvýraznění2" xfId="39" builtinId="36" customBuiltin="1"/>
    <cellStyle name="60 % – Zvýraznění3" xfId="43" builtinId="40" customBuiltin="1"/>
    <cellStyle name="60 % – Zvýraznění4" xfId="47" builtinId="44" customBuiltin="1"/>
    <cellStyle name="60 % – Zvýraznění5" xfId="51" builtinId="48" customBuiltin="1"/>
    <cellStyle name="60 % – Zvýraznění6" xfId="55" builtinId="52" customBuiltin="1"/>
    <cellStyle name="Celkem" xfId="20" builtinId="25" customBuiltin="1"/>
    <cellStyle name="Čárka" xfId="7" builtinId="3" customBuiltin="1"/>
    <cellStyle name="Čárky bez des. míst" xfId="22" builtinId="6" customBuiltin="1"/>
    <cellStyle name="Dátum" xfId="17"/>
    <cellStyle name="Dátum splatnosti" xfId="19"/>
    <cellStyle name="Dolné orámovanie" xfId="21"/>
    <cellStyle name="Hlavičky tabuľky zarovnané na stred" xfId="18"/>
    <cellStyle name="Hypertextový odkaz" xfId="5" builtinId="8" customBuiltin="1"/>
    <cellStyle name="Chybně" xfId="24" builtinId="27" customBuiltin="1"/>
    <cellStyle name="Kontrolní buňka" xfId="29" builtinId="23" customBuiltin="1"/>
    <cellStyle name="Měna" xfId="8" builtinId="4" customBuiltin="1"/>
    <cellStyle name="Měny bez des. míst" xfId="9" builtinId="7" customBuiltin="1"/>
    <cellStyle name="Nadpis 1" xfId="11" builtinId="16" customBuiltin="1"/>
    <cellStyle name="Nadpis 2" xfId="12" builtinId="17" customBuiltin="1"/>
    <cellStyle name="Nadpis 3" xfId="13" builtinId="18" customBuiltin="1"/>
    <cellStyle name="Nadpis 4" xfId="14" builtinId="19" customBuiltin="1"/>
    <cellStyle name="Název" xfId="1" builtinId="15" customBuiltin="1"/>
    <cellStyle name="Neutrální" xfId="25" builtinId="28" customBuiltin="1"/>
    <cellStyle name="Normální" xfId="0" builtinId="0" customBuiltin="1"/>
    <cellStyle name="Podpis" xfId="4"/>
    <cellStyle name="Použitý hypertextový odkaz" xfId="6" builtinId="9" customBuiltin="1"/>
    <cellStyle name="Poznámka" xfId="31" builtinId="10" customBuiltin="1"/>
    <cellStyle name="Procenta" xfId="10" builtinId="5" customBuiltin="1"/>
    <cellStyle name="Propojená buňka" xfId="28" builtinId="24" customBuiltin="1"/>
    <cellStyle name="Sem sa podpíšte" xfId="3"/>
    <cellStyle name="Správně" xfId="23" builtinId="26" customBuiltin="1"/>
    <cellStyle name="Telefón" xfId="2"/>
    <cellStyle name="Text upozornění" xfId="30" builtinId="11" customBuiltin="1"/>
    <cellStyle name="Vstup" xfId="15" builtinId="20" customBuiltin="1"/>
    <cellStyle name="Výpočet" xfId="27" builtinId="22" customBuiltin="1"/>
    <cellStyle name="Výstup" xfId="26" builtinId="21" customBuiltin="1"/>
    <cellStyle name="Vysvětlující text" xfId="16" builtinId="53" customBuiltin="1"/>
    <cellStyle name="Zvýraznění 1" xfId="32" builtinId="29" customBuiltin="1"/>
    <cellStyle name="Zvýraznění 2" xfId="36" builtinId="33" customBuiltin="1"/>
    <cellStyle name="Zvýraznění 3" xfId="40" builtinId="37" customBuiltin="1"/>
    <cellStyle name="Zvýraznění 4" xfId="44" builtinId="41" customBuiltin="1"/>
    <cellStyle name="Zvýraznění 5" xfId="48" builtinId="45" customBuiltin="1"/>
    <cellStyle name="Zvýraznění 6" xfId="52" builtinId="49" customBuiltin="1"/>
  </cellStyles>
  <dxfs count="9">
    <dxf>
      <numFmt numFmtId="166" formatCode="#,##0.00\ [$EUR];\-#,##0.00\ [$EUR]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/>
        <i val="0"/>
      </font>
      <fill>
        <patternFill patternType="lightUp">
          <fgColor theme="3" tint="0.89996032593768116"/>
        </patternFill>
      </fill>
      <border>
        <bottom style="thin">
          <color theme="3" tint="0.749961851863155"/>
        </bottom>
      </border>
    </dxf>
    <dxf>
      <fill>
        <patternFill patternType="none">
          <bgColor auto="1"/>
        </patternFill>
      </fill>
    </dxf>
    <dxf>
      <font>
        <b/>
        <i val="0"/>
      </font>
      <fill>
        <patternFill patternType="lightUp">
          <fgColor theme="3" tint="0.89996032593768116"/>
        </patternFill>
      </fill>
    </dxf>
    <dxf>
      <font>
        <b/>
        <i val="0"/>
      </font>
    </dxf>
    <dxf>
      <font>
        <b val="0"/>
        <i val="0"/>
      </font>
      <fill>
        <patternFill patternType="solid">
          <fgColor theme="0"/>
        </patternFill>
      </fill>
      <border>
        <left/>
        <right/>
        <bottom/>
        <vertical/>
        <horizontal/>
      </border>
    </dxf>
    <dxf>
      <font>
        <b val="0"/>
        <i val="0"/>
        <color theme="4" tint="-0.24994659260841701"/>
      </font>
      <border>
        <left style="thin">
          <color theme="3" tint="0.749961851863155"/>
        </left>
        <right style="thin">
          <color theme="3" tint="0.749961851863155"/>
        </right>
        <top style="thick">
          <color theme="3" tint="0.749961851863155"/>
        </top>
        <bottom style="thin">
          <color theme="3" tint="0.749961851863155"/>
        </bottom>
      </border>
    </dxf>
    <dxf>
      <border>
        <left style="thin">
          <color theme="3" tint="0.749961851863155"/>
        </left>
        <right style="thin">
          <color theme="3" tint="0.749961851863155"/>
        </right>
        <top style="thin">
          <color theme="3" tint="0.749961851863155"/>
        </top>
        <bottom style="thin">
          <color theme="3" tint="0.749961851863155"/>
        </bottom>
        <horizontal style="thin">
          <color theme="3" tint="0.749961851863155"/>
        </horizontal>
      </border>
    </dxf>
  </dxfs>
  <tableStyles count="1" defaultTableStyle="Návrh výstavby" defaultPivotStyle="PivotStyleLight7">
    <tableStyle name="Návrh výstavby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lastHeaderCell" dxfId="3"/>
      <tableStyleElement type="lastTotalCell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475318</xdr:rowOff>
    </xdr:from>
    <xdr:to>
      <xdr:col>1</xdr:col>
      <xdr:colOff>1543051</xdr:colOff>
      <xdr:row>2</xdr:row>
      <xdr:rowOff>41931</xdr:rowOff>
    </xdr:to>
    <xdr:pic>
      <xdr:nvPicPr>
        <xdr:cNvPr id="4" name="Obrázok 3">
          <a:extLst>
            <a:ext uri="{FF2B5EF4-FFF2-40B4-BE49-F238E27FC236}">
              <a16:creationId xmlns="" xmlns:a16="http://schemas.microsoft.com/office/drawing/2014/main" id="{4073DEF0-1C68-4D46-A18A-0F545408F2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75318"/>
          <a:ext cx="1362076" cy="6810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38100</xdr:rowOff>
    </xdr:from>
    <xdr:to>
      <xdr:col>1</xdr:col>
      <xdr:colOff>790194</xdr:colOff>
      <xdr:row>0</xdr:row>
      <xdr:rowOff>361188</xdr:rowOff>
    </xdr:to>
    <xdr:pic>
      <xdr:nvPicPr>
        <xdr:cNvPr id="3" name="Obrázek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38100"/>
          <a:ext cx="999744" cy="323088"/>
        </a:xfrm>
        <a:prstGeom prst="rect">
          <a:avLst/>
        </a:prstGeom>
      </xdr:spPr>
    </xdr:pic>
    <xdr:clientData/>
  </xdr:twoCellAnchor>
  <xdr:twoCellAnchor editAs="oneCell">
    <xdr:from>
      <xdr:col>20</xdr:col>
      <xdr:colOff>247650</xdr:colOff>
      <xdr:row>0</xdr:row>
      <xdr:rowOff>152400</xdr:rowOff>
    </xdr:from>
    <xdr:to>
      <xdr:col>23</xdr:col>
      <xdr:colOff>57150</xdr:colOff>
      <xdr:row>0</xdr:row>
      <xdr:rowOff>476250</xdr:rowOff>
    </xdr:to>
    <xdr:pic>
      <xdr:nvPicPr>
        <xdr:cNvPr id="4" name="Obrázek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0575" y="152400"/>
          <a:ext cx="18669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1</xdr:colOff>
      <xdr:row>0</xdr:row>
      <xdr:rowOff>419097</xdr:rowOff>
    </xdr:from>
    <xdr:to>
      <xdr:col>22</xdr:col>
      <xdr:colOff>28578</xdr:colOff>
      <xdr:row>1</xdr:row>
      <xdr:rowOff>152400</xdr:rowOff>
    </xdr:to>
    <xdr:cxnSp macro="">
      <xdr:nvCxnSpPr>
        <xdr:cNvPr id="8" name="Pravoúhlá spojnice 7"/>
        <xdr:cNvCxnSpPr/>
      </xdr:nvCxnSpPr>
      <xdr:spPr>
        <a:xfrm rot="10800000" flipV="1">
          <a:off x="8848726" y="419097"/>
          <a:ext cx="714377" cy="276228"/>
        </a:xfrm>
        <a:prstGeom prst="bentConnector3">
          <a:avLst>
            <a:gd name="adj1" fmla="val 66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285751</xdr:colOff>
      <xdr:row>0</xdr:row>
      <xdr:rowOff>409575</xdr:rowOff>
    </xdr:from>
    <xdr:to>
      <xdr:col>22</xdr:col>
      <xdr:colOff>352425</xdr:colOff>
      <xdr:row>2</xdr:row>
      <xdr:rowOff>171453</xdr:rowOff>
    </xdr:to>
    <xdr:cxnSp macro="">
      <xdr:nvCxnSpPr>
        <xdr:cNvPr id="21" name="Pravoúhlá spojnice 20"/>
        <xdr:cNvCxnSpPr/>
      </xdr:nvCxnSpPr>
      <xdr:spPr>
        <a:xfrm rot="10800000" flipV="1">
          <a:off x="9134476" y="409575"/>
          <a:ext cx="752474" cy="619128"/>
        </a:xfrm>
        <a:prstGeom prst="bentConnector3">
          <a:avLst>
            <a:gd name="adj1" fmla="val -63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485776</xdr:colOff>
      <xdr:row>0</xdr:row>
      <xdr:rowOff>409574</xdr:rowOff>
    </xdr:from>
    <xdr:to>
      <xdr:col>22</xdr:col>
      <xdr:colOff>619126</xdr:colOff>
      <xdr:row>4</xdr:row>
      <xdr:rowOff>38102</xdr:rowOff>
    </xdr:to>
    <xdr:cxnSp macro="">
      <xdr:nvCxnSpPr>
        <xdr:cNvPr id="24" name="Pravoúhlá spojnice 23"/>
        <xdr:cNvCxnSpPr/>
      </xdr:nvCxnSpPr>
      <xdr:spPr>
        <a:xfrm rot="5400000">
          <a:off x="9220199" y="523876"/>
          <a:ext cx="1047753" cy="819150"/>
        </a:xfrm>
        <a:prstGeom prst="bentConnector3">
          <a:avLst>
            <a:gd name="adj1" fmla="val 10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152400</xdr:colOff>
      <xdr:row>3</xdr:row>
      <xdr:rowOff>19050</xdr:rowOff>
    </xdr:from>
    <xdr:to>
      <xdr:col>21</xdr:col>
      <xdr:colOff>476250</xdr:colOff>
      <xdr:row>5</xdr:row>
      <xdr:rowOff>85725</xdr:rowOff>
    </xdr:to>
    <xdr:sp macro="" textlink="">
      <xdr:nvSpPr>
        <xdr:cNvPr id="28" name="TextovéPole 27"/>
        <xdr:cNvSpPr txBox="1"/>
      </xdr:nvSpPr>
      <xdr:spPr>
        <a:xfrm>
          <a:off x="7629525" y="1247775"/>
          <a:ext cx="1695450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Počet RFQ pod stejným poradovým číslem</a:t>
          </a:r>
        </a:p>
      </xdr:txBody>
    </xdr:sp>
    <xdr:clientData/>
  </xdr:twoCellAnchor>
  <xdr:twoCellAnchor>
    <xdr:from>
      <xdr:col>18</xdr:col>
      <xdr:colOff>104774</xdr:colOff>
      <xdr:row>2</xdr:row>
      <xdr:rowOff>57150</xdr:rowOff>
    </xdr:from>
    <xdr:to>
      <xdr:col>21</xdr:col>
      <xdr:colOff>247649</xdr:colOff>
      <xdr:row>2</xdr:row>
      <xdr:rowOff>314325</xdr:rowOff>
    </xdr:to>
    <xdr:sp macro="" textlink="">
      <xdr:nvSpPr>
        <xdr:cNvPr id="29" name="TextovéPole 28"/>
        <xdr:cNvSpPr txBox="1"/>
      </xdr:nvSpPr>
      <xdr:spPr>
        <a:xfrm>
          <a:off x="6896099" y="914400"/>
          <a:ext cx="220027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Pořadové číslo v seznamu RFQ</a:t>
          </a:r>
        </a:p>
      </xdr:txBody>
    </xdr:sp>
    <xdr:clientData/>
  </xdr:twoCellAnchor>
  <xdr:twoCellAnchor>
    <xdr:from>
      <xdr:col>20</xdr:col>
      <xdr:colOff>161925</xdr:colOff>
      <xdr:row>1</xdr:row>
      <xdr:rowOff>28575</xdr:rowOff>
    </xdr:from>
    <xdr:to>
      <xdr:col>20</xdr:col>
      <xdr:colOff>609600</xdr:colOff>
      <xdr:row>1</xdr:row>
      <xdr:rowOff>285750</xdr:rowOff>
    </xdr:to>
    <xdr:sp macro="" textlink="">
      <xdr:nvSpPr>
        <xdr:cNvPr id="30" name="TextovéPole 29"/>
        <xdr:cNvSpPr txBox="1"/>
      </xdr:nvSpPr>
      <xdr:spPr>
        <a:xfrm>
          <a:off x="8324850" y="571500"/>
          <a:ext cx="44767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Rok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2" name="Položky" displayName="Položky" ref="D4:G31" totalsRowCount="1">
  <autoFilter ref="D4:G30"/>
  <tableColumns count="4">
    <tableColumn id="1" name="MNOŽSTVO"/>
    <tableColumn id="2" name="POPIS" totalsRowDxfId="1"/>
    <tableColumn id="3" name="JEDNOTKOVÁ CENA" totalsRowLabel="MEDZISÚČET"/>
    <tableColumn id="4" name="SUMA" totalsRowFunction="sum" totalsRowDxfId="0">
      <calculatedColumnFormula>IFERROR(Položky[[#This Row],[MNOŽSTVO]]*Položky[[#This Row],[JEDNOTKOVÁ CENA]], "")</calculatedColumnFormula>
    </tableColumn>
  </tableColumns>
  <tableStyleInfo name="Návrh výstavby" showFirstColumn="1" showLastColumn="1" showRowStripes="1" showColumnStripes="0"/>
  <extLst>
    <ext xmlns:x14="http://schemas.microsoft.com/office/spreadsheetml/2009/9/main" uri="{504A1905-F514-4f6f-8877-14C23A59335A}">
      <x14:table altTextSummary="Do tejto tabuľky zadajte množstvo, popis a jednotkovú cenu. Suma sa vypočíta automaticky."/>
    </ext>
  </extLst>
</table>
</file>

<file path=xl/theme/theme1.xml><?xml version="1.0" encoding="utf-8"?>
<a:theme xmlns:a="http://schemas.openxmlformats.org/drawingml/2006/main" name="Office Theme">
  <a:themeElements>
    <a:clrScheme name="Construction Proposal">
      <a:dk1>
        <a:sysClr val="windowText" lastClr="000000"/>
      </a:dk1>
      <a:lt1>
        <a:sysClr val="window" lastClr="FFFFFF"/>
      </a:lt1>
      <a:dk2>
        <a:srgbClr val="3F3122"/>
      </a:dk2>
      <a:lt2>
        <a:srgbClr val="F1F6F8"/>
      </a:lt2>
      <a:accent1>
        <a:srgbClr val="E54A41"/>
      </a:accent1>
      <a:accent2>
        <a:srgbClr val="4F8BA6"/>
      </a:accent2>
      <a:accent3>
        <a:srgbClr val="FC9F23"/>
      </a:accent3>
      <a:accent4>
        <a:srgbClr val="5E8C42"/>
      </a:accent4>
      <a:accent5>
        <a:srgbClr val="F9C73D"/>
      </a:accent5>
      <a:accent6>
        <a:srgbClr val="83406A"/>
      </a:accent6>
      <a:hlink>
        <a:srgbClr val="4F8BA6"/>
      </a:hlink>
      <a:folHlink>
        <a:srgbClr val="83406A"/>
      </a:folHlink>
    </a:clrScheme>
    <a:fontScheme name="199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autoPageBreaks="0" fitToPage="1"/>
  </sheetPr>
  <dimension ref="A1:G39"/>
  <sheetViews>
    <sheetView showGridLines="0" zoomScaleNormal="100" workbookViewId="0">
      <selection activeCell="D4" sqref="D4"/>
    </sheetView>
  </sheetViews>
  <sheetFormatPr defaultRowHeight="30" customHeight="1" x14ac:dyDescent="0.2"/>
  <cols>
    <col min="1" max="1" width="2.625" style="1" customWidth="1"/>
    <col min="2" max="2" width="27" customWidth="1"/>
    <col min="3" max="3" width="2.625" customWidth="1"/>
    <col min="4" max="4" width="19.375" customWidth="1"/>
    <col min="5" max="5" width="50.875" customWidth="1"/>
    <col min="6" max="6" width="23.125" customWidth="1"/>
    <col min="7" max="7" width="15.375" customWidth="1"/>
    <col min="8" max="8" width="2.625" customWidth="1"/>
  </cols>
  <sheetData>
    <row r="1" spans="2:7" ht="57.75" customHeight="1" x14ac:dyDescent="0.4">
      <c r="B1" s="121"/>
      <c r="D1" s="127" t="s">
        <v>24</v>
      </c>
      <c r="E1" s="127"/>
      <c r="F1" s="127"/>
      <c r="G1" s="127"/>
    </row>
    <row r="2" spans="2:7" ht="30" customHeight="1" x14ac:dyDescent="0.2">
      <c r="B2" s="121"/>
      <c r="D2" s="2" t="s">
        <v>25</v>
      </c>
      <c r="E2" s="126" t="s">
        <v>32</v>
      </c>
      <c r="F2" s="126"/>
      <c r="G2" s="126"/>
    </row>
    <row r="3" spans="2:7" ht="46.5" customHeight="1" x14ac:dyDescent="0.2">
      <c r="B3" s="121"/>
      <c r="D3" s="26" t="s">
        <v>26</v>
      </c>
      <c r="E3" s="125" t="s">
        <v>33</v>
      </c>
      <c r="F3" s="125"/>
      <c r="G3" s="125"/>
    </row>
    <row r="4" spans="2:7" ht="30" customHeight="1" x14ac:dyDescent="0.2">
      <c r="B4" s="121"/>
      <c r="D4" s="11" t="s">
        <v>27</v>
      </c>
      <c r="E4" s="7" t="s">
        <v>34</v>
      </c>
      <c r="F4" s="11" t="s">
        <v>42</v>
      </c>
      <c r="G4" s="11" t="s">
        <v>47</v>
      </c>
    </row>
    <row r="5" spans="2:7" ht="30" customHeight="1" x14ac:dyDescent="0.2">
      <c r="B5" s="3" t="s">
        <v>0</v>
      </c>
      <c r="D5" s="10">
        <v>10</v>
      </c>
      <c r="E5" s="8" t="s">
        <v>35</v>
      </c>
      <c r="F5" s="9">
        <v>165</v>
      </c>
      <c r="G5" s="9">
        <f>IFERROR(Položky[[#This Row],[MNOŽSTVO]]*Položky[[#This Row],[JEDNOTKOVÁ CENA]], "")</f>
        <v>1650</v>
      </c>
    </row>
    <row r="6" spans="2:7" ht="30" customHeight="1" x14ac:dyDescent="0.2">
      <c r="B6" s="4" t="s">
        <v>1</v>
      </c>
      <c r="D6" s="10">
        <v>21</v>
      </c>
      <c r="E6" s="8" t="s">
        <v>36</v>
      </c>
      <c r="F6" s="9">
        <v>40</v>
      </c>
      <c r="G6" s="9">
        <f>IFERROR(Položky[[#This Row],[MNOŽSTVO]]*Položky[[#This Row],[JEDNOTKOVÁ CENA]], "")</f>
        <v>840</v>
      </c>
    </row>
    <row r="7" spans="2:7" ht="30" customHeight="1" x14ac:dyDescent="0.2">
      <c r="B7" s="3" t="s">
        <v>2</v>
      </c>
      <c r="D7" s="10">
        <v>5</v>
      </c>
      <c r="E7" s="8" t="s">
        <v>37</v>
      </c>
      <c r="F7" s="9">
        <v>10.5</v>
      </c>
      <c r="G7" s="9">
        <f>IFERROR(Položky[[#This Row],[MNOŽSTVO]]*Položky[[#This Row],[JEDNOTKOVÁ CENA]], "")</f>
        <v>52.5</v>
      </c>
    </row>
    <row r="8" spans="2:7" ht="30" customHeight="1" x14ac:dyDescent="0.2">
      <c r="B8" s="4" t="s">
        <v>3</v>
      </c>
      <c r="D8" s="10">
        <v>164</v>
      </c>
      <c r="E8" s="8" t="s">
        <v>38</v>
      </c>
      <c r="F8" s="9">
        <v>2.75</v>
      </c>
      <c r="G8" s="9">
        <f>IFERROR(Položky[[#This Row],[MNOŽSTVO]]*Položky[[#This Row],[JEDNOTKOVÁ CENA]], "")</f>
        <v>451</v>
      </c>
    </row>
    <row r="9" spans="2:7" ht="30" customHeight="1" x14ac:dyDescent="0.2">
      <c r="B9" s="3" t="s">
        <v>4</v>
      </c>
      <c r="D9" s="10">
        <v>6</v>
      </c>
      <c r="E9" s="8" t="s">
        <v>39</v>
      </c>
      <c r="F9" s="9">
        <v>12</v>
      </c>
      <c r="G9" s="9">
        <f>IFERROR(Položky[[#This Row],[MNOŽSTVO]]*Položky[[#This Row],[JEDNOTKOVÁ CENA]], "")</f>
        <v>72</v>
      </c>
    </row>
    <row r="10" spans="2:7" ht="30" customHeight="1" x14ac:dyDescent="0.2">
      <c r="B10" s="12">
        <f ca="1">TODAY()</f>
        <v>43957</v>
      </c>
      <c r="D10" s="10">
        <v>18</v>
      </c>
      <c r="E10" s="8" t="s">
        <v>40</v>
      </c>
      <c r="F10" s="9">
        <v>5.5</v>
      </c>
      <c r="G10" s="9">
        <f>IFERROR(Položky[[#This Row],[MNOŽSTVO]]*Položky[[#This Row],[JEDNOTKOVÁ CENA]], "")</f>
        <v>99</v>
      </c>
    </row>
    <row r="11" spans="2:7" ht="30" customHeight="1" x14ac:dyDescent="0.2">
      <c r="B11" s="3" t="s">
        <v>5</v>
      </c>
      <c r="D11" s="10">
        <v>1</v>
      </c>
      <c r="E11" s="8" t="s">
        <v>41</v>
      </c>
      <c r="F11" s="9">
        <v>25</v>
      </c>
      <c r="G11" s="9">
        <f>IFERROR(Položky[[#This Row],[MNOŽSTVO]]*Položky[[#This Row],[JEDNOTKOVÁ CENA]], "")</f>
        <v>25</v>
      </c>
    </row>
    <row r="12" spans="2:7" ht="30" customHeight="1" x14ac:dyDescent="0.2">
      <c r="B12" s="4" t="s">
        <v>6</v>
      </c>
      <c r="D12" s="17"/>
      <c r="E12" s="8"/>
      <c r="F12" s="18"/>
      <c r="G12" s="9">
        <f>IFERROR(Položky[[#This Row],[MNOŽSTVO]]*Položky[[#This Row],[JEDNOTKOVÁ CENA]], "")</f>
        <v>0</v>
      </c>
    </row>
    <row r="13" spans="2:7" ht="30" customHeight="1" x14ac:dyDescent="0.2">
      <c r="B13" s="3" t="s">
        <v>7</v>
      </c>
      <c r="D13" s="17"/>
      <c r="E13" s="8"/>
      <c r="F13" s="18"/>
      <c r="G13" s="9">
        <f>IFERROR(Položky[[#This Row],[MNOŽSTVO]]*Položky[[#This Row],[JEDNOTKOVÁ CENA]], "")</f>
        <v>0</v>
      </c>
    </row>
    <row r="14" spans="2:7" ht="30" customHeight="1" x14ac:dyDescent="0.2">
      <c r="B14" s="4" t="s">
        <v>8</v>
      </c>
      <c r="D14" s="17"/>
      <c r="E14" s="8"/>
      <c r="F14" s="18"/>
      <c r="G14" s="9">
        <f>IFERROR(Položky[[#This Row],[MNOŽSTVO]]*Položky[[#This Row],[JEDNOTKOVÁ CENA]], "")</f>
        <v>0</v>
      </c>
    </row>
    <row r="15" spans="2:7" ht="30" customHeight="1" x14ac:dyDescent="0.2">
      <c r="B15" s="3" t="s">
        <v>9</v>
      </c>
      <c r="D15" s="17"/>
      <c r="E15" s="8"/>
      <c r="F15" s="18"/>
      <c r="G15" s="9">
        <f>IFERROR(Položky[[#This Row],[MNOŽSTVO]]*Položky[[#This Row],[JEDNOTKOVÁ CENA]], "")</f>
        <v>0</v>
      </c>
    </row>
    <row r="16" spans="2:7" ht="30" customHeight="1" x14ac:dyDescent="0.2">
      <c r="B16" s="5" t="s">
        <v>10</v>
      </c>
      <c r="D16" s="17"/>
      <c r="E16" s="8"/>
      <c r="F16" s="18"/>
      <c r="G16" s="9">
        <f>IFERROR(Položky[[#This Row],[MNOŽSTVO]]*Položky[[#This Row],[JEDNOTKOVÁ CENA]], "")</f>
        <v>0</v>
      </c>
    </row>
    <row r="17" spans="2:7" ht="30" customHeight="1" x14ac:dyDescent="0.2">
      <c r="B17" s="3" t="s">
        <v>11</v>
      </c>
      <c r="D17" s="17"/>
      <c r="E17" s="8"/>
      <c r="F17" s="18"/>
      <c r="G17" s="9">
        <f>IFERROR(Položky[[#This Row],[MNOŽSTVO]]*Položky[[#This Row],[JEDNOTKOVÁ CENA]], "")</f>
        <v>0</v>
      </c>
    </row>
    <row r="18" spans="2:7" ht="30" customHeight="1" x14ac:dyDescent="0.2">
      <c r="B18" s="4" t="s">
        <v>12</v>
      </c>
      <c r="D18" s="17"/>
      <c r="E18" s="8"/>
      <c r="F18" s="18"/>
      <c r="G18" s="9">
        <f>IFERROR(Položky[[#This Row],[MNOŽSTVO]]*Položky[[#This Row],[JEDNOTKOVÁ CENA]], "")</f>
        <v>0</v>
      </c>
    </row>
    <row r="19" spans="2:7" ht="30" customHeight="1" x14ac:dyDescent="0.2">
      <c r="B19" s="3" t="s">
        <v>13</v>
      </c>
      <c r="D19" s="17"/>
      <c r="E19" s="8"/>
      <c r="F19" s="18"/>
      <c r="G19" s="9">
        <f>IFERROR(Položky[[#This Row],[MNOŽSTVO]]*Položky[[#This Row],[JEDNOTKOVÁ CENA]], "")</f>
        <v>0</v>
      </c>
    </row>
    <row r="20" spans="2:7" ht="30" customHeight="1" x14ac:dyDescent="0.2">
      <c r="B20" s="4" t="s">
        <v>14</v>
      </c>
      <c r="D20" s="17"/>
      <c r="E20" s="8"/>
      <c r="F20" s="18"/>
      <c r="G20" s="9">
        <f>IFERROR(Položky[[#This Row],[MNOŽSTVO]]*Položky[[#This Row],[JEDNOTKOVÁ CENA]], "")</f>
        <v>0</v>
      </c>
    </row>
    <row r="21" spans="2:7" ht="30" customHeight="1" x14ac:dyDescent="0.2">
      <c r="B21" s="3" t="s">
        <v>15</v>
      </c>
      <c r="D21" s="17"/>
      <c r="E21" s="8"/>
      <c r="F21" s="18"/>
      <c r="G21" s="9">
        <f>IFERROR(Položky[[#This Row],[MNOŽSTVO]]*Položky[[#This Row],[JEDNOTKOVÁ CENA]], "")</f>
        <v>0</v>
      </c>
    </row>
    <row r="22" spans="2:7" ht="30" customHeight="1" x14ac:dyDescent="0.2">
      <c r="B22" s="4" t="s">
        <v>16</v>
      </c>
      <c r="D22" s="17"/>
      <c r="E22" s="8"/>
      <c r="F22" s="18"/>
      <c r="G22" s="9">
        <f>IFERROR(Položky[[#This Row],[MNOŽSTVO]]*Položky[[#This Row],[JEDNOTKOVÁ CENA]], "")</f>
        <v>0</v>
      </c>
    </row>
    <row r="23" spans="2:7" ht="30" customHeight="1" x14ac:dyDescent="0.2">
      <c r="B23" s="3" t="s">
        <v>17</v>
      </c>
      <c r="D23" s="17"/>
      <c r="E23" s="8"/>
      <c r="F23" s="18"/>
      <c r="G23" s="9">
        <f>IFERROR(Položky[[#This Row],[MNOŽSTVO]]*Položky[[#This Row],[JEDNOTKOVÁ CENA]], "")</f>
        <v>0</v>
      </c>
    </row>
    <row r="24" spans="2:7" ht="30" customHeight="1" x14ac:dyDescent="0.2">
      <c r="B24" s="4" t="s">
        <v>18</v>
      </c>
      <c r="D24" s="17"/>
      <c r="E24" s="8"/>
      <c r="F24" s="18"/>
      <c r="G24" s="9">
        <f>IFERROR(Položky[[#This Row],[MNOŽSTVO]]*Položky[[#This Row],[JEDNOTKOVÁ CENA]], "")</f>
        <v>0</v>
      </c>
    </row>
    <row r="25" spans="2:7" ht="30" customHeight="1" x14ac:dyDescent="0.2">
      <c r="B25" s="3" t="s">
        <v>19</v>
      </c>
      <c r="D25" s="17"/>
      <c r="E25" s="8"/>
      <c r="F25" s="18"/>
      <c r="G25" s="9">
        <f>IFERROR(Položky[[#This Row],[MNOŽSTVO]]*Položky[[#This Row],[JEDNOTKOVÁ CENA]], "")</f>
        <v>0</v>
      </c>
    </row>
    <row r="26" spans="2:7" ht="30" customHeight="1" x14ac:dyDescent="0.2">
      <c r="B26" s="6" t="s">
        <v>20</v>
      </c>
      <c r="D26" s="17"/>
      <c r="E26" s="8"/>
      <c r="F26" s="18"/>
      <c r="G26" s="9">
        <f>IFERROR(Položky[[#This Row],[MNOŽSTVO]]*Položky[[#This Row],[JEDNOTKOVÁ CENA]], "")</f>
        <v>0</v>
      </c>
    </row>
    <row r="27" spans="2:7" ht="30" customHeight="1" x14ac:dyDescent="0.2">
      <c r="B27" s="3" t="s">
        <v>21</v>
      </c>
      <c r="D27" s="17"/>
      <c r="E27" s="8"/>
      <c r="F27" s="18"/>
      <c r="G27" s="9">
        <f>IFERROR(Položky[[#This Row],[MNOŽSTVO]]*Položky[[#This Row],[JEDNOTKOVÁ CENA]], "")</f>
        <v>0</v>
      </c>
    </row>
    <row r="28" spans="2:7" ht="30" customHeight="1" x14ac:dyDescent="0.2">
      <c r="B28" s="6" t="s">
        <v>22</v>
      </c>
      <c r="D28" s="17"/>
      <c r="E28" s="8"/>
      <c r="F28" s="18"/>
      <c r="G28" s="9">
        <f>IFERROR(Položky[[#This Row],[MNOŽSTVO]]*Položky[[#This Row],[JEDNOTKOVÁ CENA]], "")</f>
        <v>0</v>
      </c>
    </row>
    <row r="29" spans="2:7" ht="30" customHeight="1" x14ac:dyDescent="0.2">
      <c r="B29" s="3" t="s">
        <v>23</v>
      </c>
      <c r="D29" s="17"/>
      <c r="E29" s="8"/>
      <c r="F29" s="18"/>
      <c r="G29" s="9">
        <f>IFERROR(Položky[[#This Row],[MNOŽSTVO]]*Položky[[#This Row],[JEDNOTKOVÁ CENA]], "")</f>
        <v>0</v>
      </c>
    </row>
    <row r="30" spans="2:7" ht="30" customHeight="1" x14ac:dyDescent="0.2">
      <c r="B30" s="22">
        <f ca="1">TODAY()+30</f>
        <v>43987</v>
      </c>
      <c r="D30" s="17"/>
      <c r="E30" s="8"/>
      <c r="F30" s="18"/>
      <c r="G30" s="9">
        <f>IFERROR(Položky[[#This Row],[MNOŽSTVO]]*Položky[[#This Row],[JEDNOTKOVÁ CENA]], "")</f>
        <v>0</v>
      </c>
    </row>
    <row r="31" spans="2:7" ht="30" customHeight="1" x14ac:dyDescent="0.2">
      <c r="D31" s="19"/>
      <c r="E31" s="8"/>
      <c r="F31" s="21" t="s">
        <v>43</v>
      </c>
      <c r="G31" s="28">
        <f>SUBTOTAL(109,Položky[SUMA])</f>
        <v>3189.5</v>
      </c>
    </row>
    <row r="32" spans="2:7" ht="30" customHeight="1" x14ac:dyDescent="0.2">
      <c r="D32" s="13" t="s">
        <v>28</v>
      </c>
      <c r="E32" s="13"/>
      <c r="F32" s="20" t="s">
        <v>44</v>
      </c>
      <c r="G32" s="23">
        <v>7.7499999999999999E-2</v>
      </c>
    </row>
    <row r="33" spans="4:7" ht="30" customHeight="1" x14ac:dyDescent="0.2">
      <c r="D33" s="124" t="s">
        <v>29</v>
      </c>
      <c r="E33" s="124"/>
      <c r="F33" s="20" t="s">
        <v>45</v>
      </c>
      <c r="G33" s="24">
        <f>IFERROR(Medzisúčet*SadzbaDane, "")</f>
        <v>247.18625</v>
      </c>
    </row>
    <row r="34" spans="4:7" ht="30" customHeight="1" x14ac:dyDescent="0.2">
      <c r="D34" s="124"/>
      <c r="E34" s="124"/>
      <c r="F34" s="20" t="s">
        <v>46</v>
      </c>
      <c r="G34" s="24"/>
    </row>
    <row r="35" spans="4:7" ht="30" customHeight="1" thickBot="1" x14ac:dyDescent="0.25">
      <c r="D35" s="124"/>
      <c r="E35" s="124"/>
      <c r="F35" s="16" t="s">
        <v>49</v>
      </c>
      <c r="G35" s="25">
        <f>IFERROR(Medzisúčet+G33+Iné, "")</f>
        <v>3436.6862500000002</v>
      </c>
    </row>
    <row r="36" spans="4:7" ht="30" customHeight="1" thickTop="1" x14ac:dyDescent="0.2">
      <c r="D36" s="124"/>
      <c r="E36" s="124"/>
    </row>
    <row r="37" spans="4:7" ht="30" customHeight="1" x14ac:dyDescent="0.2">
      <c r="D37" s="122" t="s">
        <v>30</v>
      </c>
      <c r="E37" s="122"/>
      <c r="F37" s="122"/>
      <c r="G37" s="122"/>
    </row>
    <row r="38" spans="4:7" ht="30" customHeight="1" x14ac:dyDescent="0.2">
      <c r="D38" s="121"/>
      <c r="E38" s="121"/>
      <c r="F38" s="121"/>
      <c r="G38" s="15"/>
    </row>
    <row r="39" spans="4:7" ht="30" customHeight="1" x14ac:dyDescent="0.2">
      <c r="D39" s="123" t="s">
        <v>31</v>
      </c>
      <c r="E39" s="123"/>
      <c r="F39" s="123"/>
      <c r="G39" s="14" t="s">
        <v>48</v>
      </c>
    </row>
  </sheetData>
  <mergeCells count="8">
    <mergeCell ref="B1:B4"/>
    <mergeCell ref="D37:G37"/>
    <mergeCell ref="D38:F38"/>
    <mergeCell ref="D39:F39"/>
    <mergeCell ref="D33:E36"/>
    <mergeCell ref="E3:G3"/>
    <mergeCell ref="E2:G2"/>
    <mergeCell ref="D1:G1"/>
  </mergeCells>
  <dataValidations count="40">
    <dataValidation allowBlank="1" showInputMessage="1" showErrorMessage="1" prompt="V tomto hárku môžete vytvoriť návrh výstavby. Do tabuľky Položky začínajúcej v bunke D4 zadajte podrobnosti o výstavbe. Do bunky B1 pridajte logo spoločnosti. Celková splatná suma sa vypočíta automaticky." sqref="A1"/>
    <dataValidation allowBlank="1" showInputMessage="1" showErrorMessage="1" prompt="V tejto bunke sa nachádza nadpis tohto hárka. Do buniek nižšie zadajte názov a adresu spoločnosti." sqref="D1"/>
    <dataValidation allowBlank="1" showInputMessage="1" showErrorMessage="1" prompt="Do bunky nižšie zadajte meno zákazníka." sqref="B5"/>
    <dataValidation allowBlank="1" showInputMessage="1" showErrorMessage="1" prompt="Do bunky nižšie zadajte číslo odhadu." sqref="B7"/>
    <dataValidation allowBlank="1" showInputMessage="1" showErrorMessage="1" prompt="Do tejto bunky zadajte číslo odhadu." sqref="B8"/>
    <dataValidation allowBlank="1" showInputMessage="1" showErrorMessage="1" prompt="Do bunky nižšie zadajte dátum." sqref="B9"/>
    <dataValidation allowBlank="1" showInputMessage="1" showErrorMessage="1" prompt="Do tejto bunky zadajte dátum." sqref="B10"/>
    <dataValidation allowBlank="1" showInputMessage="1" showErrorMessage="1" prompt="Do bunky nižšie zadajte adresu zákazníka." sqref="B11"/>
    <dataValidation allowBlank="1" showInputMessage="1" showErrorMessage="1" prompt="Do bunky nižšie zadajte PSČ, mesto a krajinu zákazníka." sqref="B13"/>
    <dataValidation allowBlank="1" showInputMessage="1" showErrorMessage="1" prompt="Do bunky nižšie zadajte telefónne číslo zákazníka." sqref="B15"/>
    <dataValidation allowBlank="1" showInputMessage="1" showErrorMessage="1" prompt="Do bunky nižšie zadajte e-mailovú adresu zákazníka." sqref="B17"/>
    <dataValidation allowBlank="1" showInputMessage="1" showErrorMessage="1" prompt="Do bunky nižšie zadajte meno predajcu." sqref="B19"/>
    <dataValidation allowBlank="1" showInputMessage="1" showErrorMessage="1" prompt="Do bunky nižšie zadajte projekt." sqref="B21"/>
    <dataValidation allowBlank="1" showInputMessage="1" showErrorMessage="1" prompt="Do bunky nižšie zadajte meno osoby, ktorá návrh vypracovala." sqref="B23"/>
    <dataValidation allowBlank="1" showInputMessage="1" showErrorMessage="1" prompt="Do bunky nižšie zadajte meno osoby, pre ktorú je tento návrh určený." sqref="B25"/>
    <dataValidation allowBlank="1" showInputMessage="1" showErrorMessage="1" prompt="Do tejto bunky zadajte meno osoby, pre ktorú je tento návrh určený." sqref="B26"/>
    <dataValidation allowBlank="1" showInputMessage="1" showErrorMessage="1" prompt="Do bunky nižšie zadajte platobné podmienky." sqref="B27"/>
    <dataValidation allowBlank="1" showInputMessage="1" showErrorMessage="1" prompt="Do tejto bunky zadajte platobné podmienky." sqref="B28"/>
    <dataValidation allowBlank="1" showInputMessage="1" showErrorMessage="1" prompt="Do bunky nižšie zadajte dátum splatnosti." sqref="B29"/>
    <dataValidation allowBlank="1" showInputMessage="1" showErrorMessage="1" prompt="Do tejto bunky zadajte dátum splatnosti." sqref="B30"/>
    <dataValidation allowBlank="1" showInputMessage="1" showErrorMessage="1" prompt="Do stĺpca pod týmto záhlavím zadajte množstvo. Na vyhľadanie konkrétnych záznamov použite filtre záhlaví." sqref="D4"/>
    <dataValidation allowBlank="1" showInputMessage="1" showErrorMessage="1" prompt="Do stĺpca pod týmto záhlavím zadajte popis." sqref="E4"/>
    <dataValidation allowBlank="1" showInputMessage="1" showErrorMessage="1" prompt="Do stĺpca pod týmto záhlavím zadajte jednotkovú cenu." sqref="F4"/>
    <dataValidation allowBlank="1" showInputMessage="1" showErrorMessage="1" prompt="V stĺpci pod týmto záhlavím sa automaticky vypočíta celková suma. Na konci tabuľky sa automaticky vypočíta medzisúčet." sqref="G4"/>
    <dataValidation allowBlank="1" showInputMessage="1" showErrorMessage="1" prompt="Do bunky nižšie zadajte podmienky návrhu." sqref="D32"/>
    <dataValidation allowBlank="1" showInputMessage="1" showErrorMessage="1" prompt="Do bunky napravo zadajte sadzbu dane." sqref="F32"/>
    <dataValidation allowBlank="1" showInputMessage="1" showErrorMessage="1" prompt="Do tejto bunky zadajte sadzbu dane." sqref="G32"/>
    <dataValidation allowBlank="1" showInputMessage="1" showErrorMessage="1" prompt="V bunke napravo sa automaticky vypočíta výška dane z predaja." sqref="F33"/>
    <dataValidation allowBlank="1" showInputMessage="1" showErrorMessage="1" prompt="V tejto bunke sa automaticky vypočíta výška dane z predaja." sqref="G33"/>
    <dataValidation allowBlank="1" showInputMessage="1" showErrorMessage="1" prompt="Do bunky vpravo zadajte inú sumu." sqref="F34"/>
    <dataValidation allowBlank="1" showInputMessage="1" showErrorMessage="1" prompt="Do tejto bunky zadajte inú sumu." sqref="G34"/>
    <dataValidation allowBlank="1" showInputMessage="1" showErrorMessage="1" prompt="V bunke napravo sa automaticky vypočíta celková splatná suma." sqref="F35"/>
    <dataValidation allowBlank="1" showInputMessage="1" showErrorMessage="1" prompt="V tejto bunke sa automaticky vypočíta celková splatná suma." sqref="G35"/>
    <dataValidation allowBlank="1" showInputMessage="1" showErrorMessage="1" prompt="Do tejto bunky zadajte dátum podpisu." sqref="G38"/>
    <dataValidation allowBlank="1" showInputMessage="1" showErrorMessage="1" prompt="Do tejto bunky zadajte podmienky návrhu." sqref="D33"/>
    <dataValidation allowBlank="1" showInputMessage="1" showErrorMessage="1" prompt="Nižšie zadajte podpis splnomocneného zástupcu." sqref="D37:G37"/>
    <dataValidation allowBlank="1" showInputMessage="1" showErrorMessage="1" prompt="Sem zadajte podpis splnomocneného zástupcu a do bunky napravo zadajte dátum podpisu." sqref="D38:F38"/>
    <dataValidation allowBlank="1" showInputMessage="1" showErrorMessage="1" prompt="Do tejto bunky zadajte logo spoločnosti a do buniek nižšie podrobnosti o zákazníkovi." sqref="B1:B4"/>
    <dataValidation allowBlank="1" showInputMessage="1" showErrorMessage="1" prompt="Do tejto bunky zadajte názov spoločnosti." sqref="D2"/>
    <dataValidation allowBlank="1" showInputMessage="1" showErrorMessage="1" prompt="Do tejto bunky zadajte telefónne číslo spoločnosti." sqref="D3"/>
  </dataValidations>
  <printOptions horizontalCentered="1"/>
  <pageMargins left="0.25" right="0.25" top="0.25" bottom="0.25" header="0" footer="0.25"/>
  <pageSetup paperSize="9" fitToHeight="0" orientation="portrait" r:id="rId1"/>
  <headerFooter differentFirst="1">
    <oddFooter>Page &amp;P of &amp;N</oddFooter>
  </headerFooter>
  <ignoredErrors>
    <ignoredError sqref="G12:G30" emptyCellReference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232"/>
  <sheetViews>
    <sheetView tabSelected="1" zoomScaleNormal="100" zoomScaleSheetLayoutView="55" workbookViewId="0">
      <selection activeCell="C36" sqref="C36"/>
    </sheetView>
  </sheetViews>
  <sheetFormatPr defaultRowHeight="14.25" x14ac:dyDescent="0.2"/>
  <cols>
    <col min="1" max="1" width="3.125" customWidth="1"/>
    <col min="2" max="2" width="16.25" customWidth="1"/>
    <col min="3" max="3" width="20" customWidth="1"/>
    <col min="4" max="4" width="8.5" customWidth="1"/>
    <col min="5" max="5" width="8.5" style="29" customWidth="1"/>
    <col min="6" max="10" width="3.75" style="29" customWidth="1"/>
    <col min="11" max="11" width="4.5" customWidth="1"/>
    <col min="12" max="12" width="3.875" style="27" customWidth="1"/>
    <col min="13" max="13" width="4.875" style="27" customWidth="1"/>
    <col min="14" max="14" width="6.25" customWidth="1"/>
    <col min="15" max="15" width="8.875" style="29" customWidth="1"/>
    <col min="16" max="16" width="6" style="27" customWidth="1"/>
    <col min="17" max="17" width="9.5" customWidth="1"/>
    <col min="18" max="18" width="1.5" style="34" customWidth="1"/>
    <col min="19" max="38" width="9" style="34"/>
  </cols>
  <sheetData>
    <row r="1" spans="1:42" s="34" customFormat="1" ht="42.75" customHeight="1" thickBot="1" x14ac:dyDescent="0.25">
      <c r="A1" s="138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44"/>
      <c r="M1" s="44"/>
      <c r="N1" s="47"/>
      <c r="O1" s="59"/>
      <c r="P1" s="55"/>
      <c r="Q1" s="55"/>
      <c r="R1" s="45"/>
      <c r="S1" s="64"/>
      <c r="T1" s="64"/>
      <c r="U1" s="64"/>
      <c r="V1" s="64"/>
      <c r="W1" s="64"/>
      <c r="X1" s="64"/>
    </row>
    <row r="2" spans="1:42" s="34" customFormat="1" ht="24.75" customHeight="1" thickBot="1" x14ac:dyDescent="0.25">
      <c r="A2" s="141" t="s">
        <v>72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47"/>
      <c r="M2" s="47"/>
      <c r="N2" s="47"/>
      <c r="O2" s="63" t="s">
        <v>71</v>
      </c>
      <c r="P2" s="143" t="s">
        <v>73</v>
      </c>
      <c r="Q2" s="144"/>
      <c r="R2" s="61"/>
      <c r="S2" s="64"/>
      <c r="T2" s="64"/>
      <c r="U2" s="65" t="s">
        <v>74</v>
      </c>
      <c r="V2" s="64"/>
      <c r="W2" s="64"/>
      <c r="X2" s="64"/>
    </row>
    <row r="3" spans="1:42" s="34" customFormat="1" ht="29.25" customHeight="1" x14ac:dyDescent="0.2">
      <c r="A3" s="56"/>
      <c r="B3" s="57"/>
      <c r="C3" s="57"/>
      <c r="D3" s="57"/>
      <c r="E3" s="60"/>
      <c r="F3" s="60"/>
      <c r="G3" s="60"/>
      <c r="H3" s="60"/>
      <c r="I3" s="60"/>
      <c r="J3" s="60"/>
      <c r="K3" s="57"/>
      <c r="L3" s="47"/>
      <c r="M3" s="47"/>
      <c r="N3" s="47"/>
      <c r="O3" s="58"/>
      <c r="P3" s="47"/>
      <c r="Q3" s="47"/>
      <c r="R3" s="48"/>
      <c r="S3" s="148"/>
      <c r="T3" s="149"/>
      <c r="U3" s="149"/>
      <c r="V3" s="64"/>
      <c r="W3" s="64"/>
      <c r="X3" s="64"/>
    </row>
    <row r="4" spans="1:42" s="34" customFormat="1" ht="15" thickBot="1" x14ac:dyDescent="0.25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8"/>
      <c r="S4" s="64"/>
      <c r="T4" s="64"/>
      <c r="U4" s="64"/>
      <c r="V4" s="64"/>
      <c r="W4" s="64"/>
      <c r="X4" s="64"/>
    </row>
    <row r="5" spans="1:42" s="34" customFormat="1" ht="15" thickBot="1" x14ac:dyDescent="0.25">
      <c r="A5" s="140" t="s">
        <v>50</v>
      </c>
      <c r="B5" s="140"/>
      <c r="C5" s="54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8"/>
      <c r="S5" s="64"/>
      <c r="T5" s="64"/>
      <c r="U5" s="64"/>
      <c r="V5" s="64"/>
      <c r="W5" s="64"/>
      <c r="X5" s="64"/>
    </row>
    <row r="6" spans="1:42" s="34" customFormat="1" ht="15" thickBot="1" x14ac:dyDescent="0.25">
      <c r="A6" s="140" t="s">
        <v>51</v>
      </c>
      <c r="B6" s="140"/>
      <c r="C6" s="54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8"/>
      <c r="S6" s="64"/>
      <c r="T6" s="64"/>
      <c r="U6" s="64"/>
      <c r="V6" s="64"/>
      <c r="W6" s="64"/>
      <c r="X6" s="64"/>
    </row>
    <row r="7" spans="1:42" s="34" customFormat="1" ht="15" thickBot="1" x14ac:dyDescent="0.25">
      <c r="A7" s="140" t="s">
        <v>58</v>
      </c>
      <c r="B7" s="140"/>
      <c r="C7" s="54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8"/>
    </row>
    <row r="8" spans="1:42" s="34" customFormat="1" ht="15" thickBot="1" x14ac:dyDescent="0.25">
      <c r="A8" s="140" t="s">
        <v>66</v>
      </c>
      <c r="B8" s="140"/>
      <c r="C8" s="54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8"/>
    </row>
    <row r="9" spans="1:42" s="34" customFormat="1" ht="15" thickBot="1" x14ac:dyDescent="0.25">
      <c r="A9" s="140" t="s">
        <v>65</v>
      </c>
      <c r="B9" s="140"/>
      <c r="C9" s="54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8"/>
    </row>
    <row r="10" spans="1:42" s="34" customFormat="1" ht="15" thickBot="1" x14ac:dyDescent="0.25">
      <c r="A10" s="140" t="s">
        <v>67</v>
      </c>
      <c r="B10" s="140"/>
      <c r="C10" s="54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8"/>
    </row>
    <row r="11" spans="1:42" s="34" customFormat="1" ht="15" thickBot="1" x14ac:dyDescent="0.25">
      <c r="A11" s="140" t="s">
        <v>68</v>
      </c>
      <c r="B11" s="140"/>
      <c r="C11" s="54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8"/>
    </row>
    <row r="12" spans="1:42" s="34" customFormat="1" ht="15" thickBot="1" x14ac:dyDescent="0.25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8"/>
    </row>
    <row r="13" spans="1:42" s="34" customFormat="1" ht="15" thickBot="1" x14ac:dyDescent="0.25">
      <c r="A13" s="131" t="s">
        <v>70</v>
      </c>
      <c r="B13" s="131"/>
      <c r="C13" s="54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8"/>
    </row>
    <row r="14" spans="1:42" s="34" customFormat="1" x14ac:dyDescent="0.2">
      <c r="A14" s="46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8"/>
    </row>
    <row r="15" spans="1:42" s="34" customFormat="1" ht="15" thickBot="1" x14ac:dyDescent="0.25">
      <c r="A15" s="46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8"/>
    </row>
    <row r="16" spans="1:42" ht="15.75" customHeight="1" thickTop="1" thickBot="1" x14ac:dyDescent="0.25">
      <c r="A16" s="46"/>
      <c r="B16" s="30" t="s">
        <v>52</v>
      </c>
      <c r="C16" s="31" t="s">
        <v>53</v>
      </c>
      <c r="D16" s="132" t="s">
        <v>54</v>
      </c>
      <c r="E16" s="134"/>
      <c r="F16" s="132" t="s">
        <v>55</v>
      </c>
      <c r="G16" s="133"/>
      <c r="H16" s="134"/>
      <c r="I16" s="47"/>
      <c r="J16" s="47"/>
      <c r="K16" s="47"/>
      <c r="L16" s="47"/>
      <c r="M16" s="47"/>
      <c r="N16" s="47"/>
      <c r="O16" s="47"/>
      <c r="P16" s="47"/>
      <c r="Q16" s="47"/>
      <c r="R16" s="48"/>
      <c r="AM16" s="34"/>
      <c r="AN16" s="34"/>
      <c r="AO16" s="34"/>
      <c r="AP16" s="34"/>
    </row>
    <row r="17" spans="1:42" ht="15" thickBot="1" x14ac:dyDescent="0.25">
      <c r="A17" s="46"/>
      <c r="B17" s="32"/>
      <c r="C17" s="33"/>
      <c r="D17" s="152"/>
      <c r="E17" s="153"/>
      <c r="F17" s="135"/>
      <c r="G17" s="136"/>
      <c r="H17" s="137"/>
      <c r="I17" s="47"/>
      <c r="J17" s="47"/>
      <c r="K17" s="47"/>
      <c r="L17" s="47"/>
      <c r="M17" s="47"/>
      <c r="N17" s="47"/>
      <c r="O17" s="47"/>
      <c r="P17" s="47"/>
      <c r="Q17" s="47"/>
      <c r="R17" s="48"/>
      <c r="AM17" s="34"/>
      <c r="AN17" s="34"/>
      <c r="AO17" s="34"/>
      <c r="AP17" s="34"/>
    </row>
    <row r="18" spans="1:42" s="34" customFormat="1" ht="15" thickBot="1" x14ac:dyDescent="0.25">
      <c r="A18" s="46"/>
      <c r="B18" s="35"/>
      <c r="C18" s="35"/>
      <c r="D18" s="35"/>
      <c r="E18" s="35"/>
      <c r="F18" s="35"/>
      <c r="G18" s="35"/>
      <c r="H18" s="35"/>
      <c r="I18" s="47"/>
      <c r="J18" s="47"/>
      <c r="K18" s="47"/>
      <c r="L18" s="47"/>
      <c r="M18" s="47"/>
      <c r="N18" s="47"/>
      <c r="O18" s="47"/>
      <c r="P18" s="47"/>
      <c r="Q18" s="47"/>
      <c r="R18" s="48"/>
    </row>
    <row r="19" spans="1:42" s="27" customFormat="1" ht="15.75" thickTop="1" thickBot="1" x14ac:dyDescent="0.25">
      <c r="A19" s="46"/>
      <c r="B19" s="30" t="s">
        <v>56</v>
      </c>
      <c r="C19" s="31" t="s">
        <v>53</v>
      </c>
      <c r="D19" s="132" t="s">
        <v>54</v>
      </c>
      <c r="E19" s="134"/>
      <c r="F19" s="132" t="s">
        <v>57</v>
      </c>
      <c r="G19" s="133"/>
      <c r="H19" s="134"/>
      <c r="I19" s="47"/>
      <c r="J19" s="47"/>
      <c r="K19" s="47"/>
      <c r="L19" s="47"/>
      <c r="M19" s="47"/>
      <c r="N19" s="47"/>
      <c r="O19" s="47"/>
      <c r="P19" s="47"/>
      <c r="Q19" s="47"/>
      <c r="R19" s="48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</row>
    <row r="20" spans="1:42" s="34" customFormat="1" ht="15" thickBot="1" x14ac:dyDescent="0.25">
      <c r="A20" s="46"/>
      <c r="B20" s="36"/>
      <c r="C20" s="37"/>
      <c r="D20" s="146"/>
      <c r="E20" s="147"/>
      <c r="F20" s="135"/>
      <c r="G20" s="136"/>
      <c r="H20" s="137"/>
      <c r="I20" s="47"/>
      <c r="J20" s="47"/>
      <c r="K20" s="47"/>
      <c r="L20" s="47"/>
      <c r="M20" s="47"/>
      <c r="N20" s="47"/>
      <c r="O20" s="47"/>
      <c r="P20" s="47"/>
      <c r="Q20" s="47"/>
      <c r="R20" s="48"/>
    </row>
    <row r="21" spans="1:42" s="34" customFormat="1" x14ac:dyDescent="0.2">
      <c r="A21" s="49"/>
      <c r="B21" s="35"/>
      <c r="C21" s="35"/>
      <c r="D21" s="35"/>
      <c r="E21" s="35"/>
      <c r="F21" s="35"/>
      <c r="G21" s="35"/>
      <c r="H21" s="35"/>
      <c r="I21" s="47"/>
      <c r="J21" s="47"/>
      <c r="K21" s="47"/>
      <c r="L21" s="47"/>
      <c r="M21" s="47"/>
      <c r="N21" s="47"/>
      <c r="O21" s="47"/>
      <c r="P21" s="47"/>
      <c r="Q21" s="47"/>
      <c r="R21" s="48"/>
    </row>
    <row r="22" spans="1:42" s="34" customFormat="1" ht="15" thickBot="1" x14ac:dyDescent="0.25">
      <c r="A22" s="50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8"/>
    </row>
    <row r="23" spans="1:42" ht="27" customHeight="1" thickTop="1" thickBot="1" x14ac:dyDescent="0.25">
      <c r="A23" s="46"/>
      <c r="B23" s="30" t="s">
        <v>59</v>
      </c>
      <c r="C23" s="31" t="s">
        <v>60</v>
      </c>
      <c r="D23" s="132" t="s">
        <v>81</v>
      </c>
      <c r="E23" s="134"/>
      <c r="F23" s="132" t="s">
        <v>80</v>
      </c>
      <c r="G23" s="133"/>
      <c r="H23" s="133"/>
      <c r="I23" s="133"/>
      <c r="J23" s="134"/>
      <c r="K23" s="43" t="s">
        <v>79</v>
      </c>
      <c r="L23" s="43" t="s">
        <v>61</v>
      </c>
      <c r="M23" s="43" t="s">
        <v>63</v>
      </c>
      <c r="N23" s="43" t="s">
        <v>69</v>
      </c>
      <c r="O23" s="43" t="s">
        <v>82</v>
      </c>
      <c r="P23" s="31" t="s">
        <v>62</v>
      </c>
      <c r="Q23" s="47"/>
      <c r="R23" s="48"/>
    </row>
    <row r="24" spans="1:42" s="34" customFormat="1" ht="15" thickBot="1" x14ac:dyDescent="0.25">
      <c r="A24" s="62">
        <v>1</v>
      </c>
      <c r="B24" s="38"/>
      <c r="C24" s="39"/>
      <c r="D24" s="146"/>
      <c r="E24" s="147"/>
      <c r="F24" s="128"/>
      <c r="G24" s="129"/>
      <c r="H24" s="129"/>
      <c r="I24" s="129"/>
      <c r="J24" s="130"/>
      <c r="K24" s="40"/>
      <c r="L24" s="40"/>
      <c r="M24" s="40"/>
      <c r="N24" s="40"/>
      <c r="O24" s="40"/>
      <c r="P24" s="40"/>
      <c r="Q24" s="47"/>
      <c r="R24" s="48"/>
    </row>
    <row r="25" spans="1:42" s="34" customFormat="1" ht="15" thickBot="1" x14ac:dyDescent="0.25">
      <c r="A25" s="62">
        <v>2</v>
      </c>
      <c r="B25" s="38"/>
      <c r="C25" s="39"/>
      <c r="D25" s="146"/>
      <c r="E25" s="147"/>
      <c r="F25" s="128"/>
      <c r="G25" s="129"/>
      <c r="H25" s="129"/>
      <c r="I25" s="129"/>
      <c r="J25" s="130"/>
      <c r="K25" s="40"/>
      <c r="L25" s="40"/>
      <c r="M25" s="40"/>
      <c r="N25" s="40"/>
      <c r="O25" s="40"/>
      <c r="P25" s="40"/>
      <c r="Q25" s="47"/>
      <c r="R25" s="48"/>
    </row>
    <row r="26" spans="1:42" s="34" customFormat="1" ht="15" thickBot="1" x14ac:dyDescent="0.25">
      <c r="A26" s="62">
        <v>3</v>
      </c>
      <c r="B26" s="38"/>
      <c r="C26" s="39"/>
      <c r="D26" s="146"/>
      <c r="E26" s="147"/>
      <c r="F26" s="128"/>
      <c r="G26" s="129"/>
      <c r="H26" s="129"/>
      <c r="I26" s="129"/>
      <c r="J26" s="130"/>
      <c r="K26" s="40"/>
      <c r="L26" s="40"/>
      <c r="M26" s="40"/>
      <c r="N26" s="40"/>
      <c r="O26" s="40"/>
      <c r="P26" s="40"/>
      <c r="Q26" s="47"/>
      <c r="R26" s="48"/>
    </row>
    <row r="27" spans="1:42" s="34" customFormat="1" ht="15" thickBot="1" x14ac:dyDescent="0.25">
      <c r="A27" s="62">
        <v>4</v>
      </c>
      <c r="B27" s="38"/>
      <c r="C27" s="39"/>
      <c r="D27" s="146"/>
      <c r="E27" s="147"/>
      <c r="F27" s="128"/>
      <c r="G27" s="129"/>
      <c r="H27" s="129"/>
      <c r="I27" s="129"/>
      <c r="J27" s="130"/>
      <c r="K27" s="40"/>
      <c r="L27" s="40"/>
      <c r="M27" s="40"/>
      <c r="N27" s="40"/>
      <c r="O27" s="40"/>
      <c r="P27" s="40"/>
      <c r="Q27" s="47"/>
      <c r="R27" s="48"/>
    </row>
    <row r="28" spans="1:42" s="34" customFormat="1" ht="15" thickBot="1" x14ac:dyDescent="0.25">
      <c r="A28" s="62">
        <v>5</v>
      </c>
      <c r="B28" s="38"/>
      <c r="C28" s="39"/>
      <c r="D28" s="146"/>
      <c r="E28" s="147"/>
      <c r="F28" s="128"/>
      <c r="G28" s="129"/>
      <c r="H28" s="129"/>
      <c r="I28" s="129"/>
      <c r="J28" s="130"/>
      <c r="K28" s="40"/>
      <c r="L28" s="40"/>
      <c r="M28" s="40"/>
      <c r="N28" s="40"/>
      <c r="O28" s="40"/>
      <c r="P28" s="40"/>
      <c r="Q28" s="47"/>
      <c r="R28" s="48"/>
    </row>
    <row r="29" spans="1:42" s="34" customFormat="1" ht="15" thickBot="1" x14ac:dyDescent="0.25">
      <c r="A29" s="62">
        <v>6</v>
      </c>
      <c r="B29" s="38"/>
      <c r="C29" s="39"/>
      <c r="D29" s="146"/>
      <c r="E29" s="147"/>
      <c r="F29" s="128"/>
      <c r="G29" s="129"/>
      <c r="H29" s="129"/>
      <c r="I29" s="129"/>
      <c r="J29" s="130"/>
      <c r="K29" s="40"/>
      <c r="L29" s="40"/>
      <c r="M29" s="40"/>
      <c r="N29" s="40"/>
      <c r="O29" s="40"/>
      <c r="P29" s="40"/>
      <c r="Q29" s="47"/>
      <c r="R29" s="48"/>
    </row>
    <row r="30" spans="1:42" s="34" customFormat="1" ht="15" thickBot="1" x14ac:dyDescent="0.25">
      <c r="A30" s="62">
        <v>7</v>
      </c>
      <c r="B30" s="38"/>
      <c r="C30" s="39"/>
      <c r="D30" s="146"/>
      <c r="E30" s="147"/>
      <c r="F30" s="128"/>
      <c r="G30" s="129"/>
      <c r="H30" s="129"/>
      <c r="I30" s="129"/>
      <c r="J30" s="130"/>
      <c r="K30" s="40"/>
      <c r="L30" s="40"/>
      <c r="M30" s="40"/>
      <c r="N30" s="40"/>
      <c r="O30" s="40"/>
      <c r="P30" s="40"/>
      <c r="Q30" s="47"/>
      <c r="R30" s="48"/>
    </row>
    <row r="31" spans="1:42" s="34" customFormat="1" ht="15" thickBot="1" x14ac:dyDescent="0.25">
      <c r="A31" s="62">
        <v>8</v>
      </c>
      <c r="B31" s="38"/>
      <c r="C31" s="39"/>
      <c r="D31" s="146"/>
      <c r="E31" s="147"/>
      <c r="F31" s="128"/>
      <c r="G31" s="129"/>
      <c r="H31" s="129"/>
      <c r="I31" s="129"/>
      <c r="J31" s="130"/>
      <c r="K31" s="40"/>
      <c r="L31" s="40"/>
      <c r="M31" s="40"/>
      <c r="N31" s="40"/>
      <c r="O31" s="40"/>
      <c r="P31" s="40"/>
      <c r="Q31" s="47"/>
      <c r="R31" s="48"/>
    </row>
    <row r="32" spans="1:42" s="34" customFormat="1" ht="15" thickBot="1" x14ac:dyDescent="0.25">
      <c r="A32" s="62">
        <v>9</v>
      </c>
      <c r="B32" s="38"/>
      <c r="C32" s="39"/>
      <c r="D32" s="146"/>
      <c r="E32" s="147"/>
      <c r="F32" s="128"/>
      <c r="G32" s="129"/>
      <c r="H32" s="129"/>
      <c r="I32" s="129"/>
      <c r="J32" s="130"/>
      <c r="K32" s="40"/>
      <c r="L32" s="40"/>
      <c r="M32" s="40"/>
      <c r="N32" s="40"/>
      <c r="O32" s="40"/>
      <c r="P32" s="40"/>
      <c r="Q32" s="47"/>
      <c r="R32" s="48"/>
    </row>
    <row r="33" spans="1:18" s="34" customFormat="1" ht="15" thickBot="1" x14ac:dyDescent="0.25">
      <c r="A33" s="62">
        <v>10</v>
      </c>
      <c r="B33" s="38"/>
      <c r="C33" s="39"/>
      <c r="D33" s="146"/>
      <c r="E33" s="147"/>
      <c r="F33" s="128"/>
      <c r="G33" s="129"/>
      <c r="H33" s="129"/>
      <c r="I33" s="129"/>
      <c r="J33" s="130"/>
      <c r="K33" s="40"/>
      <c r="L33" s="40"/>
      <c r="M33" s="40"/>
      <c r="N33" s="40"/>
      <c r="O33" s="40"/>
      <c r="P33" s="40"/>
      <c r="Q33" s="47"/>
      <c r="R33" s="48"/>
    </row>
    <row r="34" spans="1:18" s="34" customFormat="1" ht="15" thickBot="1" x14ac:dyDescent="0.25">
      <c r="A34" s="62">
        <v>11</v>
      </c>
      <c r="B34" s="38"/>
      <c r="C34" s="39"/>
      <c r="D34" s="146"/>
      <c r="E34" s="147"/>
      <c r="F34" s="128"/>
      <c r="G34" s="129"/>
      <c r="H34" s="129"/>
      <c r="I34" s="129"/>
      <c r="J34" s="130"/>
      <c r="K34" s="40"/>
      <c r="L34" s="40"/>
      <c r="M34" s="40"/>
      <c r="N34" s="40"/>
      <c r="O34" s="40"/>
      <c r="P34" s="40"/>
      <c r="Q34" s="47"/>
      <c r="R34" s="48"/>
    </row>
    <row r="35" spans="1:18" s="34" customFormat="1" x14ac:dyDescent="0.2">
      <c r="A35" s="46"/>
      <c r="B35" s="41"/>
      <c r="C35" s="41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145"/>
      <c r="O35" s="145"/>
      <c r="P35" s="145"/>
      <c r="Q35" s="47"/>
      <c r="R35" s="48"/>
    </row>
    <row r="36" spans="1:18" s="34" customFormat="1" ht="27" x14ac:dyDescent="0.2">
      <c r="A36" s="46"/>
      <c r="B36" s="69" t="s">
        <v>75</v>
      </c>
      <c r="C36" s="68" t="s">
        <v>78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66"/>
      <c r="O36" s="66"/>
      <c r="P36" s="66"/>
      <c r="Q36" s="66"/>
      <c r="R36" s="48"/>
    </row>
    <row r="37" spans="1:18" s="34" customFormat="1" x14ac:dyDescent="0.2">
      <c r="A37" s="46"/>
      <c r="B37" s="69"/>
      <c r="C37" s="68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66"/>
      <c r="O37" s="66"/>
      <c r="P37" s="66"/>
      <c r="Q37" s="66"/>
      <c r="R37" s="48"/>
    </row>
    <row r="38" spans="1:18" s="34" customFormat="1" x14ac:dyDescent="0.2">
      <c r="A38" s="46"/>
      <c r="B38" s="41"/>
      <c r="C38" s="41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66"/>
      <c r="O38" s="66"/>
      <c r="P38" s="66"/>
      <c r="Q38" s="66"/>
      <c r="R38" s="48"/>
    </row>
    <row r="39" spans="1:18" s="34" customFormat="1" x14ac:dyDescent="0.2">
      <c r="A39" s="70"/>
      <c r="B39" s="71"/>
      <c r="C39" s="71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48"/>
    </row>
    <row r="40" spans="1:18" s="34" customFormat="1" ht="15" x14ac:dyDescent="0.2">
      <c r="A40" s="154" t="s">
        <v>77</v>
      </c>
      <c r="B40" s="155"/>
      <c r="C40" s="41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67"/>
      <c r="O40" s="67"/>
      <c r="P40" s="67"/>
      <c r="Q40" s="67"/>
      <c r="R40" s="48"/>
    </row>
    <row r="41" spans="1:18" s="34" customFormat="1" x14ac:dyDescent="0.2">
      <c r="A41" s="150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48"/>
    </row>
    <row r="42" spans="1:18" s="34" customFormat="1" x14ac:dyDescent="0.2">
      <c r="A42" s="150"/>
      <c r="B42" s="151"/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48"/>
    </row>
    <row r="43" spans="1:18" s="34" customFormat="1" x14ac:dyDescent="0.2">
      <c r="A43" s="156"/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48"/>
    </row>
    <row r="44" spans="1:18" s="34" customFormat="1" ht="15" x14ac:dyDescent="0.2">
      <c r="A44" s="154" t="s">
        <v>64</v>
      </c>
      <c r="B44" s="155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8"/>
    </row>
    <row r="45" spans="1:18" s="34" customFormat="1" ht="31.5" customHeight="1" x14ac:dyDescent="0.2">
      <c r="A45" s="150" t="s">
        <v>76</v>
      </c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48"/>
    </row>
    <row r="46" spans="1:18" s="34" customFormat="1" x14ac:dyDescent="0.2">
      <c r="A46" s="150"/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48"/>
    </row>
    <row r="47" spans="1:18" s="34" customFormat="1" x14ac:dyDescent="0.2">
      <c r="A47" s="150"/>
      <c r="B47" s="151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48"/>
    </row>
    <row r="48" spans="1:18" s="34" customFormat="1" x14ac:dyDescent="0.2">
      <c r="A48" s="150"/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48"/>
    </row>
    <row r="49" spans="1:18" s="34" customFormat="1" x14ac:dyDescent="0.2">
      <c r="A49" s="150"/>
      <c r="B49" s="151"/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48"/>
    </row>
    <row r="50" spans="1:18" s="34" customFormat="1" x14ac:dyDescent="0.2">
      <c r="A50" s="150"/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48"/>
    </row>
    <row r="51" spans="1:18" s="34" customFormat="1" x14ac:dyDescent="0.2">
      <c r="A51" s="46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8"/>
    </row>
    <row r="52" spans="1:18" s="34" customFormat="1" ht="15" thickBot="1" x14ac:dyDescent="0.25">
      <c r="A52" s="5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3"/>
    </row>
    <row r="53" spans="1:18" s="34" customFormat="1" x14ac:dyDescent="0.2"/>
    <row r="54" spans="1:18" s="34" customFormat="1" x14ac:dyDescent="0.2"/>
    <row r="55" spans="1:18" s="34" customFormat="1" x14ac:dyDescent="0.2"/>
    <row r="56" spans="1:18" s="34" customFormat="1" x14ac:dyDescent="0.2"/>
    <row r="57" spans="1:18" s="34" customFormat="1" x14ac:dyDescent="0.2"/>
    <row r="58" spans="1:18" s="34" customFormat="1" x14ac:dyDescent="0.2"/>
    <row r="59" spans="1:18" s="34" customFormat="1" x14ac:dyDescent="0.2"/>
    <row r="60" spans="1:18" s="34" customFormat="1" x14ac:dyDescent="0.2"/>
    <row r="61" spans="1:18" s="34" customFormat="1" x14ac:dyDescent="0.2"/>
    <row r="62" spans="1:18" s="34" customFormat="1" x14ac:dyDescent="0.2"/>
    <row r="63" spans="1:18" s="34" customFormat="1" x14ac:dyDescent="0.2"/>
    <row r="64" spans="1:18" s="34" customFormat="1" x14ac:dyDescent="0.2"/>
    <row r="65" s="34" customFormat="1" x14ac:dyDescent="0.2"/>
    <row r="66" s="34" customFormat="1" x14ac:dyDescent="0.2"/>
    <row r="67" s="34" customFormat="1" x14ac:dyDescent="0.2"/>
    <row r="68" s="34" customFormat="1" x14ac:dyDescent="0.2"/>
    <row r="69" s="34" customFormat="1" x14ac:dyDescent="0.2"/>
    <row r="70" s="34" customFormat="1" x14ac:dyDescent="0.2"/>
    <row r="71" s="34" customFormat="1" x14ac:dyDescent="0.2"/>
    <row r="72" s="34" customFormat="1" x14ac:dyDescent="0.2"/>
    <row r="73" s="34" customFormat="1" x14ac:dyDescent="0.2"/>
    <row r="74" s="34" customFormat="1" x14ac:dyDescent="0.2"/>
    <row r="75" s="34" customFormat="1" x14ac:dyDescent="0.2"/>
    <row r="76" s="34" customFormat="1" x14ac:dyDescent="0.2"/>
    <row r="77" s="34" customFormat="1" x14ac:dyDescent="0.2"/>
    <row r="78" s="34" customFormat="1" x14ac:dyDescent="0.2"/>
    <row r="79" s="34" customFormat="1" x14ac:dyDescent="0.2"/>
    <row r="80" s="34" customFormat="1" x14ac:dyDescent="0.2"/>
    <row r="81" s="34" customFormat="1" x14ac:dyDescent="0.2"/>
    <row r="82" s="34" customFormat="1" x14ac:dyDescent="0.2"/>
    <row r="83" s="34" customFormat="1" x14ac:dyDescent="0.2"/>
    <row r="84" s="34" customFormat="1" x14ac:dyDescent="0.2"/>
    <row r="85" s="34" customFormat="1" x14ac:dyDescent="0.2"/>
    <row r="86" s="34" customFormat="1" x14ac:dyDescent="0.2"/>
    <row r="87" s="34" customFormat="1" x14ac:dyDescent="0.2"/>
    <row r="88" s="34" customFormat="1" x14ac:dyDescent="0.2"/>
    <row r="89" s="34" customFormat="1" x14ac:dyDescent="0.2"/>
    <row r="90" s="34" customFormat="1" x14ac:dyDescent="0.2"/>
    <row r="91" s="34" customFormat="1" x14ac:dyDescent="0.2"/>
    <row r="92" s="34" customFormat="1" x14ac:dyDescent="0.2"/>
    <row r="93" s="34" customFormat="1" x14ac:dyDescent="0.2"/>
    <row r="94" s="34" customFormat="1" x14ac:dyDescent="0.2"/>
    <row r="95" s="34" customFormat="1" x14ac:dyDescent="0.2"/>
    <row r="96" s="34" customFormat="1" x14ac:dyDescent="0.2"/>
    <row r="97" s="34" customFormat="1" x14ac:dyDescent="0.2"/>
    <row r="98" s="34" customFormat="1" x14ac:dyDescent="0.2"/>
    <row r="99" s="34" customFormat="1" x14ac:dyDescent="0.2"/>
    <row r="100" s="34" customFormat="1" x14ac:dyDescent="0.2"/>
    <row r="101" s="34" customFormat="1" x14ac:dyDescent="0.2"/>
    <row r="102" s="34" customFormat="1" x14ac:dyDescent="0.2"/>
    <row r="103" s="34" customFormat="1" x14ac:dyDescent="0.2"/>
    <row r="104" s="34" customFormat="1" x14ac:dyDescent="0.2"/>
    <row r="105" s="34" customFormat="1" x14ac:dyDescent="0.2"/>
    <row r="106" s="34" customFormat="1" x14ac:dyDescent="0.2"/>
    <row r="107" s="34" customFormat="1" x14ac:dyDescent="0.2"/>
    <row r="108" s="34" customFormat="1" x14ac:dyDescent="0.2"/>
    <row r="109" s="34" customFormat="1" x14ac:dyDescent="0.2"/>
    <row r="110" s="34" customFormat="1" x14ac:dyDescent="0.2"/>
    <row r="111" s="34" customFormat="1" x14ac:dyDescent="0.2"/>
    <row r="112" s="34" customFormat="1" x14ac:dyDescent="0.2"/>
    <row r="113" s="34" customFormat="1" x14ac:dyDescent="0.2"/>
    <row r="114" s="34" customFormat="1" x14ac:dyDescent="0.2"/>
    <row r="115" s="34" customFormat="1" x14ac:dyDescent="0.2"/>
    <row r="116" s="34" customFormat="1" x14ac:dyDescent="0.2"/>
    <row r="117" s="34" customFormat="1" x14ac:dyDescent="0.2"/>
    <row r="118" s="34" customFormat="1" x14ac:dyDescent="0.2"/>
    <row r="119" s="34" customFormat="1" x14ac:dyDescent="0.2"/>
    <row r="120" s="34" customFormat="1" x14ac:dyDescent="0.2"/>
    <row r="121" s="34" customFormat="1" x14ac:dyDescent="0.2"/>
    <row r="122" s="34" customFormat="1" x14ac:dyDescent="0.2"/>
    <row r="123" s="34" customFormat="1" x14ac:dyDescent="0.2"/>
    <row r="124" s="34" customFormat="1" x14ac:dyDescent="0.2"/>
    <row r="125" s="34" customFormat="1" x14ac:dyDescent="0.2"/>
    <row r="126" s="34" customFormat="1" x14ac:dyDescent="0.2"/>
    <row r="127" s="34" customFormat="1" x14ac:dyDescent="0.2"/>
    <row r="128" s="34" customFormat="1" x14ac:dyDescent="0.2"/>
    <row r="129" s="34" customFormat="1" x14ac:dyDescent="0.2"/>
    <row r="130" s="34" customFormat="1" x14ac:dyDescent="0.2"/>
    <row r="131" s="34" customFormat="1" x14ac:dyDescent="0.2"/>
    <row r="132" s="34" customFormat="1" x14ac:dyDescent="0.2"/>
    <row r="133" s="34" customFormat="1" x14ac:dyDescent="0.2"/>
    <row r="134" s="34" customFormat="1" x14ac:dyDescent="0.2"/>
    <row r="135" s="34" customFormat="1" x14ac:dyDescent="0.2"/>
    <row r="136" s="34" customFormat="1" x14ac:dyDescent="0.2"/>
    <row r="137" s="34" customFormat="1" x14ac:dyDescent="0.2"/>
    <row r="138" s="34" customFormat="1" x14ac:dyDescent="0.2"/>
    <row r="139" s="34" customFormat="1" x14ac:dyDescent="0.2"/>
    <row r="140" s="34" customFormat="1" x14ac:dyDescent="0.2"/>
    <row r="141" s="34" customFormat="1" x14ac:dyDescent="0.2"/>
    <row r="142" s="34" customFormat="1" x14ac:dyDescent="0.2"/>
    <row r="143" s="34" customFormat="1" x14ac:dyDescent="0.2"/>
    <row r="144" s="34" customFormat="1" x14ac:dyDescent="0.2"/>
    <row r="145" s="34" customFormat="1" x14ac:dyDescent="0.2"/>
    <row r="146" s="34" customFormat="1" x14ac:dyDescent="0.2"/>
    <row r="147" s="34" customFormat="1" x14ac:dyDescent="0.2"/>
    <row r="148" s="34" customFormat="1" x14ac:dyDescent="0.2"/>
    <row r="149" s="34" customFormat="1" x14ac:dyDescent="0.2"/>
    <row r="150" s="34" customFormat="1" x14ac:dyDescent="0.2"/>
    <row r="151" s="34" customFormat="1" x14ac:dyDescent="0.2"/>
    <row r="152" s="34" customFormat="1" x14ac:dyDescent="0.2"/>
    <row r="153" s="34" customFormat="1" x14ac:dyDescent="0.2"/>
    <row r="154" s="34" customFormat="1" x14ac:dyDescent="0.2"/>
    <row r="155" s="34" customFormat="1" x14ac:dyDescent="0.2"/>
    <row r="156" s="34" customFormat="1" x14ac:dyDescent="0.2"/>
    <row r="157" s="34" customFormat="1" x14ac:dyDescent="0.2"/>
    <row r="158" s="34" customFormat="1" x14ac:dyDescent="0.2"/>
    <row r="159" s="34" customFormat="1" x14ac:dyDescent="0.2"/>
    <row r="160" s="34" customFormat="1" x14ac:dyDescent="0.2"/>
    <row r="161" s="34" customFormat="1" x14ac:dyDescent="0.2"/>
    <row r="162" s="34" customFormat="1" x14ac:dyDescent="0.2"/>
    <row r="163" s="34" customFormat="1" x14ac:dyDescent="0.2"/>
    <row r="164" s="34" customFormat="1" x14ac:dyDescent="0.2"/>
    <row r="165" s="34" customFormat="1" x14ac:dyDescent="0.2"/>
    <row r="166" s="34" customFormat="1" x14ac:dyDescent="0.2"/>
    <row r="167" s="34" customFormat="1" x14ac:dyDescent="0.2"/>
    <row r="168" s="34" customFormat="1" x14ac:dyDescent="0.2"/>
    <row r="169" s="34" customFormat="1" x14ac:dyDescent="0.2"/>
    <row r="170" s="34" customFormat="1" x14ac:dyDescent="0.2"/>
    <row r="171" s="34" customFormat="1" x14ac:dyDescent="0.2"/>
    <row r="172" s="34" customFormat="1" x14ac:dyDescent="0.2"/>
    <row r="173" s="34" customFormat="1" x14ac:dyDescent="0.2"/>
    <row r="174" s="34" customFormat="1" x14ac:dyDescent="0.2"/>
    <row r="175" s="34" customFormat="1" x14ac:dyDescent="0.2"/>
    <row r="176" s="34" customFormat="1" x14ac:dyDescent="0.2"/>
    <row r="177" s="34" customFormat="1" x14ac:dyDescent="0.2"/>
    <row r="178" s="34" customFormat="1" x14ac:dyDescent="0.2"/>
    <row r="179" s="34" customFormat="1" x14ac:dyDescent="0.2"/>
    <row r="180" s="34" customFormat="1" x14ac:dyDescent="0.2"/>
    <row r="181" s="34" customFormat="1" x14ac:dyDescent="0.2"/>
    <row r="182" s="34" customFormat="1" x14ac:dyDescent="0.2"/>
    <row r="183" s="34" customFormat="1" x14ac:dyDescent="0.2"/>
    <row r="184" s="34" customFormat="1" x14ac:dyDescent="0.2"/>
    <row r="185" s="34" customFormat="1" x14ac:dyDescent="0.2"/>
    <row r="186" s="34" customFormat="1" x14ac:dyDescent="0.2"/>
    <row r="187" s="34" customFormat="1" x14ac:dyDescent="0.2"/>
    <row r="188" s="34" customFormat="1" x14ac:dyDescent="0.2"/>
    <row r="189" s="34" customFormat="1" x14ac:dyDescent="0.2"/>
    <row r="190" s="34" customFormat="1" x14ac:dyDescent="0.2"/>
    <row r="191" s="34" customFormat="1" x14ac:dyDescent="0.2"/>
    <row r="192" s="34" customFormat="1" x14ac:dyDescent="0.2"/>
    <row r="193" s="34" customFormat="1" x14ac:dyDescent="0.2"/>
    <row r="194" s="34" customFormat="1" x14ac:dyDescent="0.2"/>
    <row r="195" s="34" customFormat="1" x14ac:dyDescent="0.2"/>
    <row r="196" s="34" customFormat="1" x14ac:dyDescent="0.2"/>
    <row r="197" s="34" customFormat="1" x14ac:dyDescent="0.2"/>
    <row r="198" s="34" customFormat="1" x14ac:dyDescent="0.2"/>
    <row r="199" s="34" customFormat="1" x14ac:dyDescent="0.2"/>
    <row r="200" s="34" customFormat="1" x14ac:dyDescent="0.2"/>
    <row r="201" s="34" customFormat="1" x14ac:dyDescent="0.2"/>
    <row r="202" s="34" customFormat="1" x14ac:dyDescent="0.2"/>
    <row r="203" s="34" customFormat="1" x14ac:dyDescent="0.2"/>
    <row r="204" s="34" customFormat="1" x14ac:dyDescent="0.2"/>
    <row r="205" s="34" customFormat="1" x14ac:dyDescent="0.2"/>
    <row r="206" s="34" customFormat="1" x14ac:dyDescent="0.2"/>
    <row r="207" s="34" customFormat="1" x14ac:dyDescent="0.2"/>
    <row r="208" s="34" customFormat="1" x14ac:dyDescent="0.2"/>
    <row r="209" s="34" customFormat="1" x14ac:dyDescent="0.2"/>
    <row r="210" s="34" customFormat="1" x14ac:dyDescent="0.2"/>
    <row r="211" s="34" customFormat="1" x14ac:dyDescent="0.2"/>
    <row r="212" s="34" customFormat="1" x14ac:dyDescent="0.2"/>
    <row r="213" s="34" customFormat="1" x14ac:dyDescent="0.2"/>
    <row r="214" s="34" customFormat="1" x14ac:dyDescent="0.2"/>
    <row r="215" s="34" customFormat="1" x14ac:dyDescent="0.2"/>
    <row r="216" s="34" customFormat="1" x14ac:dyDescent="0.2"/>
    <row r="217" s="34" customFormat="1" x14ac:dyDescent="0.2"/>
    <row r="218" s="34" customFormat="1" x14ac:dyDescent="0.2"/>
    <row r="219" s="34" customFormat="1" x14ac:dyDescent="0.2"/>
    <row r="220" s="34" customFormat="1" x14ac:dyDescent="0.2"/>
    <row r="221" s="34" customFormat="1" x14ac:dyDescent="0.2"/>
    <row r="222" s="34" customFormat="1" x14ac:dyDescent="0.2"/>
    <row r="223" s="34" customFormat="1" x14ac:dyDescent="0.2"/>
    <row r="224" s="34" customFormat="1" x14ac:dyDescent="0.2"/>
    <row r="225" s="34" customFormat="1" x14ac:dyDescent="0.2"/>
    <row r="226" s="34" customFormat="1" x14ac:dyDescent="0.2"/>
    <row r="227" s="34" customFormat="1" x14ac:dyDescent="0.2"/>
    <row r="228" s="34" customFormat="1" x14ac:dyDescent="0.2"/>
    <row r="229" s="34" customFormat="1" x14ac:dyDescent="0.2"/>
    <row r="230" s="34" customFormat="1" x14ac:dyDescent="0.2"/>
    <row r="231" s="34" customFormat="1" x14ac:dyDescent="0.2"/>
    <row r="232" s="34" customFormat="1" x14ac:dyDescent="0.2"/>
  </sheetData>
  <mergeCells count="56">
    <mergeCell ref="F32:J32"/>
    <mergeCell ref="F33:J33"/>
    <mergeCell ref="F34:J34"/>
    <mergeCell ref="A47:Q47"/>
    <mergeCell ref="A48:Q48"/>
    <mergeCell ref="A49:Q49"/>
    <mergeCell ref="A50:Q50"/>
    <mergeCell ref="A40:B40"/>
    <mergeCell ref="A42:Q42"/>
    <mergeCell ref="A43:Q43"/>
    <mergeCell ref="A41:Q41"/>
    <mergeCell ref="S3:U3"/>
    <mergeCell ref="A45:Q45"/>
    <mergeCell ref="A46:Q46"/>
    <mergeCell ref="D16:E16"/>
    <mergeCell ref="D17:E17"/>
    <mergeCell ref="D19:E19"/>
    <mergeCell ref="D20:E20"/>
    <mergeCell ref="D23:E23"/>
    <mergeCell ref="D24:E24"/>
    <mergeCell ref="D25:E25"/>
    <mergeCell ref="D26:E26"/>
    <mergeCell ref="D27:E27"/>
    <mergeCell ref="D28:E28"/>
    <mergeCell ref="D29:E29"/>
    <mergeCell ref="A44:B44"/>
    <mergeCell ref="F23:J23"/>
    <mergeCell ref="A1:K1"/>
    <mergeCell ref="A11:B11"/>
    <mergeCell ref="A2:K2"/>
    <mergeCell ref="P2:Q2"/>
    <mergeCell ref="N35:P35"/>
    <mergeCell ref="A5:B5"/>
    <mergeCell ref="A6:B6"/>
    <mergeCell ref="A7:B7"/>
    <mergeCell ref="A8:B8"/>
    <mergeCell ref="A9:B9"/>
    <mergeCell ref="A10:B10"/>
    <mergeCell ref="D30:E30"/>
    <mergeCell ref="D31:E31"/>
    <mergeCell ref="D32:E32"/>
    <mergeCell ref="D33:E33"/>
    <mergeCell ref="D34:E34"/>
    <mergeCell ref="A13:B13"/>
    <mergeCell ref="F16:H16"/>
    <mergeCell ref="F17:H17"/>
    <mergeCell ref="F19:H19"/>
    <mergeCell ref="F20:H20"/>
    <mergeCell ref="F29:J29"/>
    <mergeCell ref="F30:J30"/>
    <mergeCell ref="F31:J31"/>
    <mergeCell ref="F24:J24"/>
    <mergeCell ref="F25:J25"/>
    <mergeCell ref="F26:J26"/>
    <mergeCell ref="F27:J27"/>
    <mergeCell ref="F28:J28"/>
  </mergeCells>
  <pageMargins left="0.70866141732283472" right="0.11811023622047245" top="0.39370078740157483" bottom="0.19685039370078741" header="0.31496062992125984" footer="0.31496062992125984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4"/>
  <sheetViews>
    <sheetView topLeftCell="A4" workbookViewId="0">
      <selection activeCell="N13" sqref="N13"/>
    </sheetView>
  </sheetViews>
  <sheetFormatPr defaultRowHeight="14.25" x14ac:dyDescent="0.2"/>
  <cols>
    <col min="1" max="1" width="22" style="74" customWidth="1"/>
    <col min="2" max="2" width="7.875" style="75" customWidth="1"/>
    <col min="3" max="3" width="13.25" style="34" bestFit="1" customWidth="1"/>
    <col min="4" max="4" width="2.25" style="34" customWidth="1"/>
    <col min="5" max="5" width="6.375" style="34" bestFit="1" customWidth="1"/>
    <col min="6" max="6" width="12.625" style="34" bestFit="1" customWidth="1"/>
    <col min="7" max="7" width="14.25" style="34" bestFit="1" customWidth="1"/>
    <col min="8" max="8" width="14.25" style="75" customWidth="1"/>
    <col min="9" max="9" width="12.375" style="75" customWidth="1"/>
    <col min="10" max="10" width="13.25" style="34" customWidth="1"/>
    <col min="11" max="11" width="13.875" style="34" bestFit="1" customWidth="1"/>
    <col min="12" max="12" width="12.625" style="34" bestFit="1" customWidth="1"/>
    <col min="13" max="13" width="11" style="34" bestFit="1" customWidth="1"/>
    <col min="14" max="16384" width="9" style="34"/>
  </cols>
  <sheetData>
    <row r="2" spans="1:13" ht="15" x14ac:dyDescent="0.2">
      <c r="A2" s="98" t="s">
        <v>83</v>
      </c>
      <c r="B2" s="162" t="s">
        <v>85</v>
      </c>
      <c r="C2" s="162"/>
    </row>
    <row r="3" spans="1:13" ht="15" x14ac:dyDescent="0.2">
      <c r="A3" s="99" t="s">
        <v>104</v>
      </c>
      <c r="B3" s="162" t="s">
        <v>86</v>
      </c>
      <c r="C3" s="162"/>
    </row>
    <row r="4" spans="1:13" ht="30" x14ac:dyDescent="0.2">
      <c r="C4" s="77"/>
      <c r="F4" s="78" t="s">
        <v>94</v>
      </c>
      <c r="G4" s="34" t="s">
        <v>83</v>
      </c>
      <c r="I4" s="79" t="s">
        <v>96</v>
      </c>
      <c r="K4" s="120" t="s">
        <v>97</v>
      </c>
    </row>
    <row r="5" spans="1:13" ht="28.5" x14ac:dyDescent="0.2">
      <c r="C5" s="77"/>
      <c r="F5" s="81"/>
      <c r="G5" s="81" t="s">
        <v>109</v>
      </c>
      <c r="H5" s="82" t="s">
        <v>93</v>
      </c>
      <c r="I5" s="82" t="s">
        <v>116</v>
      </c>
      <c r="J5" s="82" t="s">
        <v>95</v>
      </c>
      <c r="K5" s="82" t="s">
        <v>108</v>
      </c>
      <c r="L5" s="82" t="s">
        <v>113</v>
      </c>
    </row>
    <row r="6" spans="1:13" ht="15" x14ac:dyDescent="0.2">
      <c r="A6" s="74" t="s">
        <v>98</v>
      </c>
      <c r="B6" s="83">
        <v>86</v>
      </c>
      <c r="C6" s="84">
        <v>155832</v>
      </c>
      <c r="F6" s="81" t="s">
        <v>90</v>
      </c>
      <c r="G6" s="85">
        <v>120</v>
      </c>
      <c r="H6" s="82">
        <v>1</v>
      </c>
      <c r="I6" s="85">
        <v>120</v>
      </c>
      <c r="J6" s="86">
        <f>I6/I9</f>
        <v>4.7040376323010585E-2</v>
      </c>
      <c r="K6" s="87">
        <f>J6*$C$8</f>
        <v>21.309290474323795</v>
      </c>
      <c r="L6" s="81"/>
    </row>
    <row r="7" spans="1:13" ht="15" x14ac:dyDescent="0.2">
      <c r="A7" s="74" t="s">
        <v>99</v>
      </c>
      <c r="C7" s="88">
        <f>C6/B6</f>
        <v>1812</v>
      </c>
      <c r="F7" s="81" t="s">
        <v>91</v>
      </c>
      <c r="G7" s="85">
        <v>100</v>
      </c>
      <c r="H7" s="82">
        <v>1</v>
      </c>
      <c r="I7" s="85">
        <v>100</v>
      </c>
      <c r="J7" s="86">
        <f>I7/I9</f>
        <v>3.9200313602508821E-2</v>
      </c>
      <c r="K7" s="87">
        <f t="shared" ref="K7" si="0">J7*$C$8</f>
        <v>17.757742061936497</v>
      </c>
      <c r="L7" s="81"/>
    </row>
    <row r="8" spans="1:13" ht="15" x14ac:dyDescent="0.2">
      <c r="A8" s="74" t="s">
        <v>100</v>
      </c>
      <c r="B8" s="75" t="s">
        <v>117</v>
      </c>
      <c r="C8" s="89">
        <f>C6/344</f>
        <v>453</v>
      </c>
      <c r="F8" s="81" t="s">
        <v>92</v>
      </c>
      <c r="G8" s="85">
        <v>777</v>
      </c>
      <c r="H8" s="82">
        <v>3</v>
      </c>
      <c r="I8" s="85">
        <f>H8*G8</f>
        <v>2331</v>
      </c>
      <c r="J8" s="86">
        <f>I8/I9</f>
        <v>0.91375931007448064</v>
      </c>
      <c r="K8" s="87">
        <f>J8*$C$8</f>
        <v>413.93296746373971</v>
      </c>
      <c r="L8" s="87">
        <v>151</v>
      </c>
    </row>
    <row r="9" spans="1:13" ht="15" x14ac:dyDescent="0.2">
      <c r="A9" s="74" t="s">
        <v>119</v>
      </c>
      <c r="B9" s="90">
        <v>100</v>
      </c>
      <c r="C9" s="89">
        <v>2551</v>
      </c>
      <c r="I9" s="84">
        <f>SUM(I6:I8)</f>
        <v>2551</v>
      </c>
      <c r="K9" s="100">
        <f>SUM(K6:K8)</f>
        <v>453</v>
      </c>
      <c r="L9" s="91"/>
    </row>
    <row r="10" spans="1:13" ht="15" x14ac:dyDescent="0.2">
      <c r="A10" s="74" t="s">
        <v>103</v>
      </c>
      <c r="C10" s="101">
        <f>C9-C8</f>
        <v>2098</v>
      </c>
      <c r="I10" s="92">
        <v>100</v>
      </c>
      <c r="K10" s="93">
        <f>K9/25.5</f>
        <v>17.764705882352942</v>
      </c>
    </row>
    <row r="11" spans="1:13" ht="15" x14ac:dyDescent="0.2">
      <c r="G11" s="158" t="s">
        <v>129</v>
      </c>
      <c r="H11" s="159"/>
      <c r="I11" s="73">
        <f>I9-K9</f>
        <v>2098</v>
      </c>
    </row>
    <row r="12" spans="1:13" ht="15" x14ac:dyDescent="0.2">
      <c r="B12" s="83" t="s">
        <v>101</v>
      </c>
      <c r="C12" s="83" t="s">
        <v>102</v>
      </c>
      <c r="G12" s="77"/>
      <c r="I12" s="94"/>
    </row>
    <row r="13" spans="1:13" x14ac:dyDescent="0.2">
      <c r="A13" s="74" t="s">
        <v>87</v>
      </c>
      <c r="B13" s="75">
        <v>3</v>
      </c>
      <c r="C13" s="75">
        <v>12</v>
      </c>
      <c r="G13" s="75"/>
    </row>
    <row r="14" spans="1:13" ht="15" x14ac:dyDescent="0.2">
      <c r="A14" s="74" t="s">
        <v>88</v>
      </c>
      <c r="B14" s="75">
        <v>1</v>
      </c>
      <c r="C14" s="75">
        <v>4</v>
      </c>
      <c r="F14" s="78" t="s">
        <v>94</v>
      </c>
      <c r="G14" s="80" t="s">
        <v>84</v>
      </c>
      <c r="I14" s="163" t="s">
        <v>122</v>
      </c>
      <c r="J14" s="163"/>
      <c r="K14" s="163"/>
      <c r="L14" s="163"/>
      <c r="M14" s="163"/>
    </row>
    <row r="15" spans="1:13" ht="28.5" x14ac:dyDescent="0.2">
      <c r="A15" s="74" t="s">
        <v>89</v>
      </c>
      <c r="B15" s="75">
        <v>1</v>
      </c>
      <c r="C15" s="75">
        <v>4</v>
      </c>
      <c r="F15" s="81"/>
      <c r="G15" s="81" t="s">
        <v>110</v>
      </c>
      <c r="H15" s="102" t="s">
        <v>93</v>
      </c>
      <c r="I15" s="82" t="s">
        <v>105</v>
      </c>
      <c r="J15" s="82" t="s">
        <v>111</v>
      </c>
      <c r="K15" s="82" t="s">
        <v>106</v>
      </c>
      <c r="L15" s="82" t="s">
        <v>112</v>
      </c>
      <c r="M15" s="82" t="s">
        <v>107</v>
      </c>
    </row>
    <row r="16" spans="1:13" x14ac:dyDescent="0.2">
      <c r="F16" s="81" t="s">
        <v>90</v>
      </c>
      <c r="G16" s="85">
        <v>120</v>
      </c>
      <c r="H16" s="102">
        <v>1</v>
      </c>
      <c r="I16" s="85">
        <f>G16*H16</f>
        <v>120</v>
      </c>
      <c r="J16" s="85">
        <f>H16*I16</f>
        <v>120</v>
      </c>
      <c r="K16" s="85"/>
      <c r="L16" s="85">
        <f>G16*H16</f>
        <v>120</v>
      </c>
      <c r="M16" s="85">
        <f>G16</f>
        <v>120</v>
      </c>
    </row>
    <row r="17" spans="3:13" x14ac:dyDescent="0.2">
      <c r="F17" s="81" t="s">
        <v>91</v>
      </c>
      <c r="G17" s="85">
        <v>100</v>
      </c>
      <c r="H17" s="102">
        <v>1</v>
      </c>
      <c r="I17" s="85">
        <f>G17*H17</f>
        <v>100</v>
      </c>
      <c r="J17" s="85">
        <f>H17*I17</f>
        <v>100</v>
      </c>
      <c r="K17" s="85"/>
      <c r="L17" s="85">
        <f>G17*H17</f>
        <v>100</v>
      </c>
      <c r="M17" s="85">
        <f>G17</f>
        <v>100</v>
      </c>
    </row>
    <row r="18" spans="3:13" x14ac:dyDescent="0.2">
      <c r="F18" s="81" t="s">
        <v>92</v>
      </c>
      <c r="G18" s="85">
        <v>223</v>
      </c>
      <c r="H18" s="102">
        <v>3</v>
      </c>
      <c r="I18" s="85">
        <f>G18*3</f>
        <v>669</v>
      </c>
      <c r="J18" s="85">
        <f>G18*4</f>
        <v>892</v>
      </c>
      <c r="K18" s="85"/>
      <c r="L18" s="85">
        <f>G18*5</f>
        <v>1115</v>
      </c>
      <c r="M18" s="85">
        <f>G18*6</f>
        <v>1338</v>
      </c>
    </row>
    <row r="19" spans="3:13" ht="15" x14ac:dyDescent="0.2">
      <c r="I19" s="84">
        <f>SUM(I16:I18)</f>
        <v>889</v>
      </c>
      <c r="J19" s="84">
        <f>SUM(J16:J18)</f>
        <v>1112</v>
      </c>
      <c r="K19" s="84"/>
      <c r="L19" s="84">
        <f>SUM(L16:L18)</f>
        <v>1335</v>
      </c>
      <c r="M19" s="84">
        <f>SUM(M16:M18)</f>
        <v>1558</v>
      </c>
    </row>
    <row r="20" spans="3:13" ht="15" x14ac:dyDescent="0.2">
      <c r="C20" s="95"/>
      <c r="I20" s="92"/>
      <c r="K20" s="93"/>
      <c r="L20" s="93"/>
    </row>
    <row r="21" spans="3:13" x14ac:dyDescent="0.2">
      <c r="G21" s="160"/>
      <c r="H21" s="160"/>
      <c r="I21" s="160"/>
      <c r="J21" s="160"/>
    </row>
    <row r="22" spans="3:13" ht="15" x14ac:dyDescent="0.2">
      <c r="F22" s="78" t="s">
        <v>94</v>
      </c>
      <c r="G22" s="80" t="s">
        <v>83</v>
      </c>
      <c r="I22" s="163" t="s">
        <v>122</v>
      </c>
      <c r="J22" s="163"/>
      <c r="K22" s="163"/>
      <c r="L22" s="163"/>
      <c r="M22" s="163"/>
    </row>
    <row r="23" spans="3:13" ht="28.5" x14ac:dyDescent="0.2">
      <c r="F23" s="81"/>
      <c r="G23" s="81" t="s">
        <v>114</v>
      </c>
      <c r="H23" s="102" t="s">
        <v>93</v>
      </c>
      <c r="I23" s="82" t="s">
        <v>105</v>
      </c>
      <c r="J23" s="82" t="s">
        <v>111</v>
      </c>
      <c r="K23" s="82" t="s">
        <v>106</v>
      </c>
      <c r="L23" s="82" t="s">
        <v>112</v>
      </c>
      <c r="M23" s="82" t="s">
        <v>107</v>
      </c>
    </row>
    <row r="24" spans="3:13" x14ac:dyDescent="0.2">
      <c r="F24" s="81" t="s">
        <v>90</v>
      </c>
      <c r="G24" s="85">
        <v>120</v>
      </c>
      <c r="H24" s="102">
        <v>1</v>
      </c>
      <c r="I24" s="85">
        <v>120</v>
      </c>
      <c r="J24" s="85"/>
      <c r="K24" s="85">
        <v>120</v>
      </c>
      <c r="L24" s="85"/>
      <c r="M24" s="85">
        <f>G24</f>
        <v>120</v>
      </c>
    </row>
    <row r="25" spans="3:13" x14ac:dyDescent="0.2">
      <c r="F25" s="81" t="s">
        <v>91</v>
      </c>
      <c r="G25" s="85">
        <v>100</v>
      </c>
      <c r="H25" s="102">
        <v>1</v>
      </c>
      <c r="I25" s="85">
        <v>100</v>
      </c>
      <c r="J25" s="85"/>
      <c r="K25" s="85">
        <v>100</v>
      </c>
      <c r="L25" s="85"/>
      <c r="M25" s="85">
        <f>G25</f>
        <v>100</v>
      </c>
    </row>
    <row r="26" spans="3:13" x14ac:dyDescent="0.2">
      <c r="F26" s="81" t="s">
        <v>115</v>
      </c>
      <c r="G26" s="85">
        <f>G8</f>
        <v>777</v>
      </c>
      <c r="H26" s="102">
        <v>3</v>
      </c>
      <c r="I26" s="85">
        <v>1554</v>
      </c>
      <c r="J26" s="85"/>
      <c r="K26" s="85">
        <f>G26*3</f>
        <v>2331</v>
      </c>
      <c r="L26" s="85"/>
      <c r="M26" s="85">
        <f>G26*4</f>
        <v>3108</v>
      </c>
    </row>
    <row r="27" spans="3:13" ht="15" x14ac:dyDescent="0.2">
      <c r="I27" s="84">
        <v>1774</v>
      </c>
      <c r="J27" s="84"/>
      <c r="K27" s="84">
        <v>2551</v>
      </c>
      <c r="L27" s="84"/>
      <c r="M27" s="84">
        <f>SUM(M24:M26)</f>
        <v>3328</v>
      </c>
    </row>
    <row r="29" spans="3:13" ht="32.25" customHeight="1" x14ac:dyDescent="0.2">
      <c r="F29" s="161" t="s">
        <v>118</v>
      </c>
      <c r="G29" s="161"/>
      <c r="H29" s="161"/>
      <c r="I29" s="119">
        <f>I27-I19</f>
        <v>885</v>
      </c>
      <c r="J29" s="119">
        <f>K27-J19</f>
        <v>1439</v>
      </c>
      <c r="K29" s="76">
        <f>K27-L19</f>
        <v>1216</v>
      </c>
      <c r="L29" s="119">
        <f>M27-L19</f>
        <v>1993</v>
      </c>
      <c r="M29" s="119">
        <f>M27-M19</f>
        <v>1770</v>
      </c>
    </row>
    <row r="30" spans="3:13" ht="14.25" customHeight="1" thickBot="1" x14ac:dyDescent="0.25">
      <c r="F30" s="103"/>
      <c r="G30" s="103"/>
      <c r="H30" s="103"/>
      <c r="I30" s="89"/>
      <c r="J30" s="89"/>
      <c r="K30" s="89"/>
      <c r="L30" s="89"/>
      <c r="M30" s="89"/>
    </row>
    <row r="31" spans="3:13" ht="15" x14ac:dyDescent="0.2">
      <c r="E31" s="96"/>
      <c r="F31" s="108" t="s">
        <v>120</v>
      </c>
      <c r="G31" s="109" t="s">
        <v>123</v>
      </c>
      <c r="H31" s="110" t="s">
        <v>124</v>
      </c>
      <c r="I31" s="110" t="s">
        <v>125</v>
      </c>
      <c r="J31" s="110" t="s">
        <v>126</v>
      </c>
      <c r="K31" s="110" t="s">
        <v>127</v>
      </c>
      <c r="L31" s="111" t="s">
        <v>128</v>
      </c>
    </row>
    <row r="32" spans="3:13" ht="21.75" customHeight="1" thickBot="1" x14ac:dyDescent="0.3">
      <c r="E32" s="97"/>
      <c r="F32" s="114" t="s">
        <v>121</v>
      </c>
      <c r="G32" s="112">
        <v>5160</v>
      </c>
      <c r="H32" s="112">
        <v>3870</v>
      </c>
      <c r="I32" s="112">
        <v>1290</v>
      </c>
      <c r="J32" s="112">
        <v>453</v>
      </c>
      <c r="K32" s="112">
        <v>80</v>
      </c>
      <c r="L32" s="113"/>
    </row>
    <row r="33" spans="5:13" ht="15" x14ac:dyDescent="0.2">
      <c r="E33" s="34">
        <v>2019</v>
      </c>
      <c r="F33" s="106">
        <v>344</v>
      </c>
      <c r="G33" s="107">
        <f>F33*G32</f>
        <v>1775040</v>
      </c>
      <c r="H33" s="107">
        <f>F33*H32</f>
        <v>1331280</v>
      </c>
      <c r="I33" s="107">
        <f>G33-H33</f>
        <v>443760</v>
      </c>
      <c r="J33" s="107">
        <f>F33*J32</f>
        <v>155832</v>
      </c>
      <c r="K33" s="107">
        <f>K32*F33</f>
        <v>27520</v>
      </c>
      <c r="L33" s="116">
        <f>I33+J33+K33</f>
        <v>627112</v>
      </c>
    </row>
    <row r="34" spans="5:13" ht="15" x14ac:dyDescent="0.2">
      <c r="E34" s="34">
        <v>2020</v>
      </c>
      <c r="F34" s="104">
        <v>344</v>
      </c>
      <c r="G34" s="105">
        <v>0</v>
      </c>
      <c r="H34" s="105">
        <v>0</v>
      </c>
      <c r="I34" s="115">
        <v>0</v>
      </c>
      <c r="J34" s="87">
        <f>F34*J32</f>
        <v>155832</v>
      </c>
      <c r="K34" s="87">
        <f>K32*F34</f>
        <v>27520</v>
      </c>
      <c r="L34" s="117">
        <f>J34+K34</f>
        <v>183352</v>
      </c>
      <c r="M34" s="118">
        <f>L34/L33-1</f>
        <v>-0.70762479429511793</v>
      </c>
    </row>
  </sheetData>
  <mergeCells count="8">
    <mergeCell ref="G11:H11"/>
    <mergeCell ref="G21:H21"/>
    <mergeCell ref="I21:J21"/>
    <mergeCell ref="F29:H29"/>
    <mergeCell ref="B2:C2"/>
    <mergeCell ref="B3:C3"/>
    <mergeCell ref="I14:M14"/>
    <mergeCell ref="I22:M2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3</vt:i4>
      </vt:variant>
      <vt:variant>
        <vt:lpstr>Pojmenované oblasti</vt:lpstr>
      </vt:variant>
      <vt:variant>
        <vt:i4>21</vt:i4>
      </vt:variant>
    </vt:vector>
  </HeadingPairs>
  <TitlesOfParts>
    <vt:vector size="24" baseType="lpstr">
      <vt:lpstr>Ponuka</vt:lpstr>
      <vt:lpstr>RFQ_CZ</vt:lpstr>
      <vt:lpstr>List1</vt:lpstr>
      <vt:lpstr>Iné</vt:lpstr>
      <vt:lpstr>Medzisúčet</vt:lpstr>
      <vt:lpstr>NadpisStĺpca1</vt:lpstr>
      <vt:lpstr>Ponuka!Názvy_tisku</vt:lpstr>
      <vt:lpstr>RFQ_CZ!Oblast_tisku</vt:lpstr>
      <vt:lpstr>OblasťNadpisuRiadka1..G35</vt:lpstr>
      <vt:lpstr>OblasťNadpisuStĺpca1..B6.1</vt:lpstr>
      <vt:lpstr>OblasťNadpisuStĺpca10..B24.1</vt:lpstr>
      <vt:lpstr>OblasťNadpisuStĺpca11..B26.1</vt:lpstr>
      <vt:lpstr>OblasťNadpisuStĺpca12..B28.1</vt:lpstr>
      <vt:lpstr>OblasťNadpisuStĺpca13..B30.1</vt:lpstr>
      <vt:lpstr>OblasťNadpisuStĺpca14..D33</vt:lpstr>
      <vt:lpstr>OblasťNadpisuStĺpca2..B8.1</vt:lpstr>
      <vt:lpstr>OblasťNadpisuStĺpca3..B10.1</vt:lpstr>
      <vt:lpstr>OblasťNadpisuStĺpca4..B12.1</vt:lpstr>
      <vt:lpstr>OblasťNadpisuStĺpca5..B14.1</vt:lpstr>
      <vt:lpstr>OblasťNadpisuStĺpca6..B16.1</vt:lpstr>
      <vt:lpstr>OblasťNadpisuStĺpca7..B18.1</vt:lpstr>
      <vt:lpstr>OblasťNadpisuStĺpca8..B20.1</vt:lpstr>
      <vt:lpstr>OblasťNadpisuStĺpca9..B22.1</vt:lpstr>
      <vt:lpstr>SadzbaDane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Robert Decsi</dc:creator>
  <cp:lastModifiedBy>Robert Decsi</cp:lastModifiedBy>
  <cp:lastPrinted>2020-03-03T06:35:08Z</cp:lastPrinted>
  <dcterms:created xsi:type="dcterms:W3CDTF">2017-07-30T18:12:27Z</dcterms:created>
  <dcterms:modified xsi:type="dcterms:W3CDTF">2020-05-06T11:47:41Z</dcterms:modified>
</cp:coreProperties>
</file>